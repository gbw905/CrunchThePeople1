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Greg\Documents\GitHub\CrunchThePeople1\"/>
    </mc:Choice>
  </mc:AlternateContent>
  <bookViews>
    <workbookView xWindow="0" yWindow="0" windowWidth="24000" windowHeight="9735" tabRatio="941"/>
  </bookViews>
  <sheets>
    <sheet name="Instructions" sheetId="1" r:id="rId1"/>
    <sheet name="Scope" sheetId="2" r:id="rId2"/>
    <sheet name="Contacts" sheetId="14" r:id="rId3"/>
    <sheet name="Call Notes" sheetId="3" r:id="rId4"/>
    <sheet name="Follow-up" sheetId="13" r:id="rId5"/>
    <sheet name="Email" sheetId="16" r:id="rId6"/>
    <sheet name="SendLog" sheetId="17" r:id="rId7"/>
    <sheet name="ref_questions" sheetId="4" r:id="rId8"/>
    <sheet name="ref_choices" sheetId="12" r:id="rId9"/>
    <sheet name="ref_services" sheetId="10" r:id="rId10"/>
    <sheet name="ref_tree_who" sheetId="6" r:id="rId11"/>
    <sheet name="ref_tree_what" sheetId="8" r:id="rId12"/>
    <sheet name="ref_select_who" sheetId="7" state="hidden" r:id="rId13"/>
    <sheet name="ref_select_what" sheetId="9" state="hidden" r:id="rId14"/>
  </sheets>
  <functionGroups builtInGroupCount="18"/>
  <definedNames>
    <definedName name="List_How">ref_select_who!$D$2:OFFSET(ref_select_who!$D$1,MATCH("",ref_select_who!$D:$D,0)-2,0)</definedName>
    <definedName name="List_Option1">ref_select_what!$C$2:OFFSET(ref_select_what!$C$1,MATCH("",ref_select_what!$C:$C,0)-2,0)</definedName>
    <definedName name="List_Option2">ref_select_what!$D$2:OFFSET(ref_select_what!$D$1,MATCH("",ref_select_what!$D:$D,0)-2,0)</definedName>
    <definedName name="List_Service">ref_select_what!$B$2:OFFSET(ref_select_what!$B$1,MATCH("",ref_select_what!$B:$B,0)-2,0)</definedName>
    <definedName name="List_who">ref_select_who!$B$2:OFFSET(ref_select_who!$B$1,MATCH("",ref_select_who!$B:$B,0)-2,0)</definedName>
    <definedName name="List_why">ref_select_who!$C$2:OFFSET(ref_select_who!$C$1,MATCH("",ref_select_who!$C:$C,0)-2,0)</definedName>
    <definedName name="Selected_How">Scope!$B$12</definedName>
    <definedName name="selected_option1">Scope!$B$18</definedName>
    <definedName name="selected_option2">Scope!$B$19</definedName>
    <definedName name="selected_service">Scope!$B$17</definedName>
    <definedName name="Selected_Who">Scope!$B$10</definedName>
    <definedName name="Selected_Why">Scope!$B$11</definedName>
    <definedName name="who1what1Chemistry">ref_choices!$A$2:$A$3</definedName>
    <definedName name="who1what1Software">ref_choices!$C$2:$C$3</definedName>
    <definedName name="who1what1Solution">ref_choices!$B$2:$B$3</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 i="4" l="1"/>
  <c r="G3"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G35" i="4"/>
  <c r="G36" i="4"/>
  <c r="G37" i="4"/>
  <c r="G38" i="4"/>
  <c r="G39" i="4"/>
  <c r="G40" i="4"/>
  <c r="G41" i="4"/>
  <c r="G42" i="4"/>
  <c r="G43" i="4"/>
  <c r="G44" i="4"/>
  <c r="G45" i="4"/>
  <c r="G46" i="4"/>
  <c r="G47" i="4"/>
  <c r="G48" i="4"/>
  <c r="G49" i="4"/>
  <c r="G50" i="4"/>
  <c r="G51" i="4"/>
  <c r="G52" i="4"/>
  <c r="G53" i="4"/>
  <c r="G54" i="4"/>
  <c r="G55" i="4"/>
  <c r="G56" i="4"/>
  <c r="G57" i="4"/>
  <c r="G58" i="4"/>
  <c r="G59" i="4"/>
  <c r="G60" i="4"/>
  <c r="G61" i="4"/>
  <c r="G62" i="4"/>
  <c r="G63" i="4"/>
  <c r="G64" i="4"/>
  <c r="G65" i="4"/>
  <c r="G66" i="4"/>
  <c r="G67" i="4"/>
  <c r="G68" i="4"/>
  <c r="G69" i="4"/>
  <c r="G70" i="4"/>
  <c r="G71" i="4"/>
  <c r="G72" i="4"/>
  <c r="G73" i="4"/>
  <c r="G74" i="4"/>
  <c r="G75" i="4"/>
  <c r="G76" i="4"/>
  <c r="G77" i="4"/>
  <c r="G78" i="4"/>
  <c r="G79" i="4"/>
  <c r="G80" i="4"/>
  <c r="G81" i="4"/>
  <c r="G82" i="4"/>
  <c r="G83" i="4"/>
  <c r="G84" i="4"/>
  <c r="G85" i="4"/>
  <c r="G86" i="4"/>
  <c r="G87" i="4"/>
  <c r="G88" i="4"/>
  <c r="A4" i="13"/>
  <c r="A5" i="13" s="1"/>
  <c r="A6" i="13" s="1"/>
  <c r="A7" i="13" s="1"/>
  <c r="A8" i="13" s="1"/>
  <c r="A9" i="13" s="1"/>
  <c r="A10" i="13" s="1"/>
  <c r="A11" i="13" s="1"/>
  <c r="A12" i="13" s="1"/>
  <c r="A13" i="13" s="1"/>
  <c r="A14" i="13" s="1"/>
  <c r="A15" i="13" s="1"/>
  <c r="A16" i="13" s="1"/>
  <c r="A17" i="13" s="1"/>
  <c r="A18" i="13" s="1"/>
  <c r="A19" i="13" s="1"/>
  <c r="A20" i="13" s="1"/>
  <c r="A21" i="13" s="1"/>
  <c r="A22" i="13" s="1"/>
  <c r="A23" i="13" s="1"/>
  <c r="A24" i="13" s="1"/>
  <c r="A25" i="13" s="1"/>
  <c r="A3" i="13"/>
  <c r="B15" i="4" l="1"/>
  <c r="B14" i="4"/>
  <c r="C25" i="8"/>
  <c r="C24" i="8"/>
  <c r="C23" i="8"/>
  <c r="C22" i="8"/>
  <c r="C21" i="8"/>
  <c r="C20" i="8"/>
  <c r="C19" i="8"/>
  <c r="C18" i="8"/>
  <c r="C17" i="8"/>
  <c r="C16" i="8"/>
  <c r="C15" i="8"/>
  <c r="C14" i="8"/>
  <c r="C13" i="8"/>
  <c r="C12" i="8"/>
  <c r="C11" i="8"/>
  <c r="C10" i="8"/>
  <c r="C9" i="8"/>
  <c r="C8" i="8"/>
  <c r="C7" i="8"/>
  <c r="C6" i="8"/>
  <c r="C5" i="8"/>
  <c r="C4" i="8"/>
  <c r="C3" i="8"/>
  <c r="C20" i="6"/>
  <c r="C19" i="6"/>
  <c r="C18" i="6"/>
  <c r="C17" i="6"/>
  <c r="C16" i="6"/>
  <c r="C15" i="6"/>
  <c r="C14" i="6"/>
  <c r="C13" i="6"/>
  <c r="C12" i="6"/>
  <c r="C11" i="6"/>
  <c r="C10" i="6"/>
  <c r="C9" i="6"/>
  <c r="C8" i="6"/>
  <c r="C7" i="6"/>
  <c r="C6" i="6"/>
  <c r="C5" i="6"/>
  <c r="C4" i="6"/>
  <c r="C3" i="6"/>
  <c r="A57" i="10"/>
  <c r="A56" i="10"/>
  <c r="A55" i="10"/>
  <c r="A54" i="10"/>
  <c r="A53" i="10"/>
  <c r="A52" i="10"/>
  <c r="A51" i="10"/>
  <c r="A50" i="10"/>
  <c r="A49" i="10"/>
  <c r="A48" i="10"/>
  <c r="A47" i="10"/>
  <c r="A46" i="10"/>
  <c r="A45" i="10"/>
  <c r="A44" i="10"/>
  <c r="A43" i="10"/>
  <c r="A42" i="10"/>
  <c r="A41" i="10"/>
  <c r="A40" i="10"/>
  <c r="A39" i="10"/>
  <c r="A38" i="10"/>
  <c r="A37" i="10"/>
  <c r="A36" i="10"/>
  <c r="A35" i="10"/>
  <c r="A34" i="10"/>
  <c r="A33" i="10"/>
  <c r="A32" i="10"/>
  <c r="A31" i="10"/>
  <c r="A30" i="10"/>
  <c r="A29" i="10"/>
  <c r="A28" i="10"/>
  <c r="A27" i="10"/>
  <c r="A26" i="10"/>
  <c r="A25" i="10"/>
  <c r="A24" i="10"/>
  <c r="A23" i="10"/>
  <c r="A22" i="10"/>
  <c r="A21" i="10"/>
  <c r="A20" i="10"/>
  <c r="A19" i="10"/>
  <c r="A18" i="10"/>
  <c r="A17" i="10"/>
  <c r="A16" i="10"/>
  <c r="A15" i="10"/>
  <c r="A14" i="10"/>
  <c r="A13" i="10"/>
  <c r="A12" i="10"/>
  <c r="A11" i="10"/>
  <c r="A10" i="10"/>
  <c r="A9" i="10"/>
  <c r="A8" i="10"/>
  <c r="A7" i="10"/>
  <c r="A6" i="10"/>
  <c r="A5" i="10"/>
  <c r="A4" i="10"/>
  <c r="A3" i="10"/>
  <c r="B88" i="4" l="1"/>
  <c r="B87" i="4"/>
  <c r="B86" i="4"/>
  <c r="B85" i="4"/>
  <c r="B84" i="4"/>
  <c r="B83" i="4"/>
  <c r="B82" i="4"/>
  <c r="B81" i="4"/>
  <c r="B80" i="4"/>
  <c r="B79" i="4"/>
  <c r="B78" i="4"/>
  <c r="B77" i="4"/>
  <c r="B76" i="4"/>
  <c r="B75" i="4"/>
  <c r="B74" i="4"/>
  <c r="B73" i="4"/>
  <c r="B72" i="4"/>
  <c r="B71" i="4"/>
  <c r="B70" i="4"/>
  <c r="B69" i="4"/>
  <c r="B68" i="4"/>
  <c r="B67" i="4"/>
  <c r="B66" i="4"/>
  <c r="B65" i="4"/>
  <c r="B64" i="4"/>
  <c r="B63" i="4"/>
  <c r="B62" i="4"/>
  <c r="B61" i="4"/>
  <c r="B60" i="4"/>
  <c r="B59" i="4"/>
  <c r="B58" i="4"/>
  <c r="B57" i="4"/>
  <c r="B56" i="4"/>
  <c r="B55" i="4"/>
  <c r="B54" i="4"/>
  <c r="B53" i="4"/>
  <c r="B52" i="4"/>
  <c r="B51" i="4"/>
  <c r="B50" i="4"/>
  <c r="B49" i="4"/>
  <c r="B48" i="4"/>
  <c r="B47" i="4"/>
  <c r="B46" i="4"/>
  <c r="B45" i="4"/>
  <c r="B44" i="4"/>
  <c r="B43" i="4"/>
  <c r="B42" i="4"/>
  <c r="B41" i="4"/>
  <c r="B40" i="4"/>
  <c r="B39" i="4"/>
  <c r="B38" i="4"/>
  <c r="B37" i="4"/>
  <c r="B36" i="4"/>
  <c r="B35" i="4"/>
  <c r="B34" i="4"/>
  <c r="B33" i="4"/>
  <c r="B32" i="4"/>
  <c r="B31" i="4"/>
  <c r="B30" i="4"/>
  <c r="B29" i="4"/>
  <c r="B28" i="4"/>
  <c r="B27" i="4"/>
  <c r="B26" i="4"/>
  <c r="B25" i="4"/>
  <c r="B24" i="4"/>
  <c r="B23" i="4"/>
  <c r="B22" i="4"/>
  <c r="B21" i="4"/>
  <c r="B20" i="4"/>
  <c r="B19" i="4"/>
  <c r="B18" i="4"/>
  <c r="B17" i="4"/>
  <c r="B16" i="4"/>
  <c r="A2" i="3"/>
  <c r="B8" i="2"/>
  <c r="A24" i="8"/>
  <c r="Q2" i="6"/>
  <c r="Q2" i="8"/>
  <c r="B2" i="9"/>
  <c r="A3" i="9"/>
  <c r="B27" i="7"/>
  <c r="B26" i="7"/>
  <c r="B25" i="7"/>
  <c r="B24" i="7"/>
  <c r="B23" i="7"/>
  <c r="B22" i="7"/>
  <c r="B21" i="7"/>
  <c r="B20" i="7"/>
  <c r="B19" i="7"/>
  <c r="B18" i="7"/>
  <c r="B17" i="7"/>
  <c r="B16" i="7"/>
  <c r="B15" i="7"/>
  <c r="B14" i="7"/>
  <c r="B13" i="7"/>
  <c r="B12" i="7"/>
  <c r="B11" i="7"/>
  <c r="B10" i="7"/>
  <c r="B9" i="7"/>
  <c r="B8" i="7"/>
  <c r="B7" i="7"/>
  <c r="B6" i="7"/>
  <c r="B5" i="7"/>
  <c r="B4" i="7"/>
  <c r="B3" i="7"/>
  <c r="B2" i="7"/>
  <c r="A3" i="7"/>
  <c r="AK2" i="8"/>
  <c r="AJ2" i="8"/>
  <c r="AI2" i="8"/>
  <c r="AH2" i="8"/>
  <c r="AG2" i="8"/>
  <c r="AF2" i="8"/>
  <c r="AE2" i="8"/>
  <c r="AD2" i="8"/>
  <c r="AC2" i="8"/>
  <c r="AB2" i="8"/>
  <c r="AA2" i="8"/>
  <c r="Z2" i="8"/>
  <c r="Y2" i="8"/>
  <c r="X2" i="8"/>
  <c r="W2" i="8"/>
  <c r="V2" i="8"/>
  <c r="U2" i="8"/>
  <c r="T2" i="8"/>
  <c r="S2" i="8"/>
  <c r="R2" i="8"/>
  <c r="P2" i="8"/>
  <c r="O2" i="8"/>
  <c r="N2" i="8"/>
  <c r="M2" i="8"/>
  <c r="L2" i="8"/>
  <c r="K2" i="8"/>
  <c r="J2" i="8"/>
  <c r="I2" i="8"/>
  <c r="H2" i="8"/>
  <c r="AK2" i="6"/>
  <c r="AJ2" i="6"/>
  <c r="AI2" i="6"/>
  <c r="AH2" i="6"/>
  <c r="AG2" i="6"/>
  <c r="AF2" i="6"/>
  <c r="AE2" i="6"/>
  <c r="AD2" i="6"/>
  <c r="AC2" i="6"/>
  <c r="AB2" i="6"/>
  <c r="AA2" i="6"/>
  <c r="Z2" i="6"/>
  <c r="Y2" i="6"/>
  <c r="X2" i="6"/>
  <c r="W2" i="6"/>
  <c r="V2" i="6"/>
  <c r="U2" i="6"/>
  <c r="T2" i="6"/>
  <c r="S2" i="6"/>
  <c r="R2" i="6"/>
  <c r="P2" i="6"/>
  <c r="O2" i="6"/>
  <c r="N2" i="6"/>
  <c r="M2" i="6"/>
  <c r="L2" i="6"/>
  <c r="K2" i="6"/>
  <c r="J2" i="6"/>
  <c r="I2" i="6"/>
  <c r="H2" i="6"/>
  <c r="A4" i="8"/>
  <c r="A5" i="8" s="1"/>
  <c r="A4" i="6"/>
  <c r="A5" i="6" s="1"/>
  <c r="A3" i="3" l="1"/>
  <c r="A25" i="8"/>
  <c r="C2" i="9"/>
  <c r="A4" i="9"/>
  <c r="C2" i="7"/>
  <c r="A4" i="7"/>
  <c r="A6" i="8"/>
  <c r="A7" i="8" s="1"/>
  <c r="A8" i="8" s="1"/>
  <c r="A9" i="8" s="1"/>
  <c r="A10" i="8" s="1"/>
  <c r="A11" i="8" s="1"/>
  <c r="A12" i="8" s="1"/>
  <c r="A13" i="8" s="1"/>
  <c r="A14" i="8" s="1"/>
  <c r="A15" i="8" s="1"/>
  <c r="A16" i="8" s="1"/>
  <c r="A17" i="8" s="1"/>
  <c r="A18" i="8" s="1"/>
  <c r="A19" i="8" s="1"/>
  <c r="A20" i="8" s="1"/>
  <c r="A21" i="8" s="1"/>
  <c r="A22" i="8" s="1"/>
  <c r="A6" i="6"/>
  <c r="A7" i="6" s="1"/>
  <c r="A8" i="6" s="1"/>
  <c r="A9" i="6" s="1"/>
  <c r="A10" i="6" s="1"/>
  <c r="A11" i="6" s="1"/>
  <c r="A12" i="6" s="1"/>
  <c r="A13" i="6" s="1"/>
  <c r="A14" i="6" s="1"/>
  <c r="A15" i="6" s="1"/>
  <c r="A16" i="6" s="1"/>
  <c r="A17" i="6" s="1"/>
  <c r="A18" i="6" s="1"/>
  <c r="A19" i="6" s="1"/>
  <c r="A20" i="6" s="1"/>
  <c r="A4" i="3" l="1"/>
  <c r="A23" i="8"/>
  <c r="B3" i="9"/>
  <c r="A5" i="9"/>
  <c r="A5" i="7"/>
  <c r="A5" i="3" l="1"/>
  <c r="A6" i="9"/>
  <c r="C27" i="7"/>
  <c r="C10" i="7"/>
  <c r="C5" i="7"/>
  <c r="C24" i="7"/>
  <c r="C3" i="7"/>
  <c r="C12" i="7"/>
  <c r="C19" i="7"/>
  <c r="C6" i="7"/>
  <c r="C22" i="7"/>
  <c r="C16" i="7"/>
  <c r="C4" i="7"/>
  <c r="C14" i="7"/>
  <c r="C9" i="7"/>
  <c r="C15" i="7"/>
  <c r="C26" i="7"/>
  <c r="C7" i="7"/>
  <c r="C20" i="7"/>
  <c r="C13" i="7"/>
  <c r="C21" i="7"/>
  <c r="C18" i="7"/>
  <c r="C23" i="7"/>
  <c r="C11" i="7"/>
  <c r="C17" i="7"/>
  <c r="C25" i="7"/>
  <c r="C8" i="7"/>
  <c r="A6" i="7"/>
  <c r="E3" i="6" l="1"/>
  <c r="E20" i="6"/>
  <c r="E4" i="6"/>
  <c r="E7" i="6"/>
  <c r="E14" i="6"/>
  <c r="E5" i="6"/>
  <c r="E15" i="6"/>
  <c r="E6" i="6"/>
  <c r="E11" i="6"/>
  <c r="E13" i="6"/>
  <c r="E16" i="6"/>
  <c r="E19" i="6"/>
  <c r="E17" i="6"/>
  <c r="E10" i="6"/>
  <c r="E12" i="6"/>
  <c r="E9" i="6"/>
  <c r="E8" i="6"/>
  <c r="E18" i="6"/>
  <c r="A6" i="3"/>
  <c r="A7" i="9"/>
  <c r="A7" i="7"/>
  <c r="A7" i="3" l="1"/>
  <c r="A8" i="9"/>
  <c r="A8" i="7"/>
  <c r="A8" i="3" l="1"/>
  <c r="A9" i="9"/>
  <c r="A9" i="7"/>
  <c r="A9" i="3" l="1"/>
  <c r="A10" i="9"/>
  <c r="A10" i="7"/>
  <c r="A10" i="3" l="1"/>
  <c r="A11" i="9"/>
  <c r="A11" i="7"/>
  <c r="A11" i="3" l="1"/>
  <c r="A12" i="9"/>
  <c r="A12" i="7"/>
  <c r="A12" i="3" l="1"/>
  <c r="A13" i="9"/>
  <c r="A13" i="7"/>
  <c r="A13" i="3" l="1"/>
  <c r="A14" i="9"/>
  <c r="A14" i="7"/>
  <c r="A14" i="3" l="1"/>
  <c r="A15" i="9"/>
  <c r="A15" i="7"/>
  <c r="A15" i="3" l="1"/>
  <c r="A16" i="9"/>
  <c r="A16" i="7"/>
  <c r="A16" i="3" l="1"/>
  <c r="A17" i="9"/>
  <c r="A17" i="7"/>
  <c r="A17" i="3" l="1"/>
  <c r="A18" i="9"/>
  <c r="A18" i="7"/>
  <c r="A18" i="3" l="1"/>
  <c r="A19" i="9"/>
  <c r="A19" i="7"/>
  <c r="A19" i="3" l="1"/>
  <c r="A20" i="9"/>
  <c r="A20" i="7"/>
  <c r="A20" i="3" l="1"/>
  <c r="A21" i="9"/>
  <c r="A21" i="7"/>
  <c r="A21" i="3" l="1"/>
  <c r="A22" i="9"/>
  <c r="A22" i="7"/>
  <c r="A22" i="3" l="1"/>
  <c r="A23" i="9"/>
  <c r="A23" i="7"/>
  <c r="A23" i="3" l="1"/>
  <c r="A24" i="9"/>
  <c r="A24" i="7"/>
  <c r="A24" i="3" l="1"/>
  <c r="A25" i="9"/>
  <c r="A25" i="7"/>
  <c r="A25" i="3" l="1"/>
  <c r="A26" i="9"/>
  <c r="A26" i="7"/>
  <c r="A26" i="3" l="1"/>
  <c r="A27" i="9"/>
  <c r="A27" i="7"/>
  <c r="A27" i="3" l="1"/>
  <c r="A28" i="3" l="1"/>
  <c r="A29" i="3" l="1"/>
  <c r="D27" i="7"/>
  <c r="D23" i="7"/>
  <c r="D19" i="7"/>
  <c r="D15" i="7"/>
  <c r="D11" i="7"/>
  <c r="D7" i="7"/>
  <c r="D3" i="7"/>
  <c r="D2" i="7"/>
  <c r="D24" i="7"/>
  <c r="D20" i="7"/>
  <c r="D16" i="7"/>
  <c r="D12" i="7"/>
  <c r="D8" i="7"/>
  <c r="D4" i="7"/>
  <c r="D26" i="7"/>
  <c r="D18" i="7"/>
  <c r="D14" i="7"/>
  <c r="D6" i="7"/>
  <c r="D25" i="7"/>
  <c r="D21" i="7"/>
  <c r="D17" i="7"/>
  <c r="D13" i="7"/>
  <c r="D9" i="7"/>
  <c r="D5" i="7"/>
  <c r="D22" i="7"/>
  <c r="D10" i="7"/>
  <c r="G6" i="6" l="1"/>
  <c r="G9" i="6"/>
  <c r="G13" i="6"/>
  <c r="G12" i="6"/>
  <c r="G14" i="6"/>
  <c r="G10" i="6"/>
  <c r="G16" i="6"/>
  <c r="G7" i="6"/>
  <c r="G5" i="6"/>
  <c r="G8" i="6"/>
  <c r="G3" i="6"/>
  <c r="G4" i="6"/>
  <c r="G11" i="6"/>
  <c r="G15" i="6"/>
  <c r="G18" i="6"/>
  <c r="G20" i="6"/>
  <c r="G17" i="6"/>
  <c r="G19" i="6"/>
  <c r="A30" i="3"/>
  <c r="D57" i="10" l="1"/>
  <c r="D53" i="10"/>
  <c r="D49" i="10"/>
  <c r="D45" i="10"/>
  <c r="D41" i="10"/>
  <c r="D37" i="10"/>
  <c r="D33" i="10"/>
  <c r="D29" i="10"/>
  <c r="D25" i="10"/>
  <c r="D21" i="10"/>
  <c r="D17" i="10"/>
  <c r="D13" i="10"/>
  <c r="D9" i="10"/>
  <c r="D5" i="10"/>
  <c r="D56" i="10"/>
  <c r="D52" i="10"/>
  <c r="D48" i="10"/>
  <c r="D44" i="10"/>
  <c r="D40" i="10"/>
  <c r="D36" i="10"/>
  <c r="D32" i="10"/>
  <c r="D28" i="10"/>
  <c r="D24" i="10"/>
  <c r="D20" i="10"/>
  <c r="D16" i="10"/>
  <c r="D12" i="10"/>
  <c r="D8" i="10"/>
  <c r="D4" i="10"/>
  <c r="D55" i="10"/>
  <c r="D51" i="10"/>
  <c r="D47" i="10"/>
  <c r="D43" i="10"/>
  <c r="D39" i="10"/>
  <c r="D35" i="10"/>
  <c r="D31" i="10"/>
  <c r="D27" i="10"/>
  <c r="D23" i="10"/>
  <c r="D19" i="10"/>
  <c r="D15" i="10"/>
  <c r="D11" i="10"/>
  <c r="D7" i="10"/>
  <c r="D54" i="10"/>
  <c r="D50" i="10"/>
  <c r="D46" i="10"/>
  <c r="D42" i="10"/>
  <c r="D38" i="10"/>
  <c r="D34" i="10"/>
  <c r="D30" i="10"/>
  <c r="D26" i="10"/>
  <c r="D22" i="10"/>
  <c r="D18" i="10"/>
  <c r="D14" i="10"/>
  <c r="D10" i="10"/>
  <c r="D6" i="10"/>
  <c r="D3" i="10"/>
  <c r="C83" i="4"/>
  <c r="C75" i="4"/>
  <c r="C67" i="4"/>
  <c r="C59" i="4"/>
  <c r="C51" i="4"/>
  <c r="C43" i="4"/>
  <c r="C35" i="4"/>
  <c r="C27" i="4"/>
  <c r="C19" i="4"/>
  <c r="C11" i="4"/>
  <c r="C3" i="4"/>
  <c r="C84" i="4"/>
  <c r="C76" i="4"/>
  <c r="C68" i="4"/>
  <c r="C60" i="4"/>
  <c r="C52" i="4"/>
  <c r="C44" i="4"/>
  <c r="C36" i="4"/>
  <c r="C28" i="4"/>
  <c r="C20" i="4"/>
  <c r="C12" i="4"/>
  <c r="C6" i="4"/>
  <c r="C79" i="4"/>
  <c r="C55" i="4"/>
  <c r="C39" i="4"/>
  <c r="C15" i="4"/>
  <c r="C88" i="4"/>
  <c r="C64" i="4"/>
  <c r="C40" i="4"/>
  <c r="C24" i="4"/>
  <c r="C85" i="4"/>
  <c r="C69" i="4"/>
  <c r="C45" i="4"/>
  <c r="C21" i="4"/>
  <c r="C5" i="4"/>
  <c r="C62" i="4"/>
  <c r="C38" i="4"/>
  <c r="C14" i="4"/>
  <c r="C81" i="4"/>
  <c r="C73" i="4"/>
  <c r="C65" i="4"/>
  <c r="C57" i="4"/>
  <c r="C49" i="4"/>
  <c r="C41" i="4"/>
  <c r="C33" i="4"/>
  <c r="C25" i="4"/>
  <c r="C17" i="4"/>
  <c r="C9" i="4"/>
  <c r="C2" i="4"/>
  <c r="C82" i="4"/>
  <c r="C74" i="4"/>
  <c r="C66" i="4"/>
  <c r="C58" i="4"/>
  <c r="C50" i="4"/>
  <c r="C42" i="4"/>
  <c r="C34" i="4"/>
  <c r="C26" i="4"/>
  <c r="C18" i="4"/>
  <c r="C10" i="4"/>
  <c r="C71" i="4"/>
  <c r="C47" i="4"/>
  <c r="C31" i="4"/>
  <c r="C7" i="4"/>
  <c r="C80" i="4"/>
  <c r="C56" i="4"/>
  <c r="C32" i="4"/>
  <c r="C16" i="4"/>
  <c r="C61" i="4"/>
  <c r="C37" i="4"/>
  <c r="C13" i="4"/>
  <c r="C86" i="4"/>
  <c r="C54" i="4"/>
  <c r="C30" i="4"/>
  <c r="C4" i="4"/>
  <c r="C87" i="4"/>
  <c r="C63" i="4"/>
  <c r="C23" i="4"/>
  <c r="C72" i="4"/>
  <c r="C48" i="4"/>
  <c r="C8" i="4"/>
  <c r="C77" i="4"/>
  <c r="C53" i="4"/>
  <c r="C29" i="4"/>
  <c r="C78" i="4"/>
  <c r="C70" i="4"/>
  <c r="C46" i="4"/>
  <c r="C22" i="4"/>
  <c r="A31" i="3"/>
  <c r="A32" i="3" l="1"/>
  <c r="B11" i="9"/>
  <c r="B14" i="9"/>
  <c r="B25" i="9"/>
  <c r="B20" i="9"/>
  <c r="B22" i="9"/>
  <c r="B24" i="9"/>
  <c r="B12" i="9"/>
  <c r="B15" i="9"/>
  <c r="B7" i="9"/>
  <c r="B9" i="9"/>
  <c r="B23" i="9"/>
  <c r="B10" i="9"/>
  <c r="B5" i="9"/>
  <c r="B13" i="9"/>
  <c r="B26" i="9"/>
  <c r="B18" i="9"/>
  <c r="B16" i="9"/>
  <c r="B19" i="9"/>
  <c r="B21" i="9"/>
  <c r="B6" i="9"/>
  <c r="B8" i="9"/>
  <c r="B17" i="9"/>
  <c r="B27" i="9"/>
  <c r="B4" i="9"/>
  <c r="A33" i="3" l="1"/>
  <c r="C27" i="9"/>
  <c r="C20" i="9"/>
  <c r="C8" i="9"/>
  <c r="C18" i="9"/>
  <c r="C9" i="9"/>
  <c r="C6" i="9"/>
  <c r="C12" i="9"/>
  <c r="C14" i="9"/>
  <c r="C7" i="9"/>
  <c r="C15" i="9"/>
  <c r="C13" i="9"/>
  <c r="C3" i="9"/>
  <c r="C16" i="9"/>
  <c r="C10" i="9"/>
  <c r="C11" i="9"/>
  <c r="C26" i="9"/>
  <c r="C17" i="9"/>
  <c r="C4" i="9"/>
  <c r="C19" i="9"/>
  <c r="C25" i="9"/>
  <c r="C24" i="9"/>
  <c r="C23" i="9"/>
  <c r="C21" i="9"/>
  <c r="C22" i="9"/>
  <c r="C5" i="9"/>
  <c r="E25" i="8" l="1"/>
  <c r="E17" i="8"/>
  <c r="E9" i="8"/>
  <c r="E24" i="8"/>
  <c r="E10" i="8"/>
  <c r="E8" i="8"/>
  <c r="E19" i="8"/>
  <c r="E14" i="8"/>
  <c r="E23" i="8"/>
  <c r="E15" i="8"/>
  <c r="E7" i="8"/>
  <c r="E20" i="8"/>
  <c r="E6" i="8"/>
  <c r="E22" i="8"/>
  <c r="E4" i="8"/>
  <c r="E3" i="8"/>
  <c r="E21" i="8"/>
  <c r="E13" i="8"/>
  <c r="E5" i="8"/>
  <c r="E18" i="8"/>
  <c r="E16" i="8"/>
  <c r="E11" i="8"/>
  <c r="E12" i="8"/>
  <c r="A34" i="3"/>
  <c r="D2" i="9" l="1"/>
  <c r="D4" i="9"/>
  <c r="D5" i="9"/>
  <c r="D19" i="9"/>
  <c r="D15" i="9"/>
  <c r="D3" i="9"/>
  <c r="D17" i="9"/>
  <c r="D8" i="9"/>
  <c r="D27" i="9"/>
  <c r="D18" i="9"/>
  <c r="D13" i="9"/>
  <c r="D22" i="9"/>
  <c r="D23" i="9"/>
  <c r="D25" i="9"/>
  <c r="D12" i="9"/>
  <c r="D11" i="9"/>
  <c r="D21" i="9"/>
  <c r="D20" i="9"/>
  <c r="D10" i="9"/>
  <c r="D9" i="9"/>
  <c r="D6" i="9"/>
  <c r="D24" i="9"/>
  <c r="D16" i="9"/>
  <c r="D7" i="9"/>
  <c r="D26" i="9"/>
  <c r="D14" i="9"/>
  <c r="A35" i="3"/>
  <c r="G14" i="8" l="1"/>
  <c r="G23" i="8"/>
  <c r="G17" i="8"/>
  <c r="G13" i="8"/>
  <c r="G4" i="8"/>
  <c r="G3" i="8"/>
  <c r="G6" i="8"/>
  <c r="G8" i="8"/>
  <c r="G9" i="8"/>
  <c r="G5" i="8"/>
  <c r="G20" i="8"/>
  <c r="G25" i="8"/>
  <c r="G21" i="8"/>
  <c r="G15" i="8"/>
  <c r="G19" i="8"/>
  <c r="G12" i="8"/>
  <c r="G18" i="8"/>
  <c r="G10" i="8"/>
  <c r="G11" i="8"/>
  <c r="G22" i="8"/>
  <c r="G7" i="8"/>
  <c r="G24" i="8"/>
  <c r="G16" i="8"/>
  <c r="A36" i="3"/>
  <c r="E57" i="10" l="1"/>
  <c r="E53" i="10"/>
  <c r="E49" i="10"/>
  <c r="E45" i="10"/>
  <c r="E41" i="10"/>
  <c r="E37" i="10"/>
  <c r="E33" i="10"/>
  <c r="E29" i="10"/>
  <c r="E25" i="10"/>
  <c r="E21" i="10"/>
  <c r="E17" i="10"/>
  <c r="E13" i="10"/>
  <c r="E9" i="10"/>
  <c r="E5" i="10"/>
  <c r="E56" i="10"/>
  <c r="E52" i="10"/>
  <c r="E48" i="10"/>
  <c r="E44" i="10"/>
  <c r="E40" i="10"/>
  <c r="E36" i="10"/>
  <c r="E32" i="10"/>
  <c r="E28" i="10"/>
  <c r="E24" i="10"/>
  <c r="E20" i="10"/>
  <c r="E16" i="10"/>
  <c r="E12" i="10"/>
  <c r="E8" i="10"/>
  <c r="E4" i="10"/>
  <c r="E55" i="10"/>
  <c r="E51" i="10"/>
  <c r="E47" i="10"/>
  <c r="E43" i="10"/>
  <c r="E39" i="10"/>
  <c r="E35" i="10"/>
  <c r="E31" i="10"/>
  <c r="E27" i="10"/>
  <c r="E23" i="10"/>
  <c r="E19" i="10"/>
  <c r="E15" i="10"/>
  <c r="E11" i="10"/>
  <c r="E7" i="10"/>
  <c r="E54" i="10"/>
  <c r="E50" i="10"/>
  <c r="E46" i="10"/>
  <c r="E42" i="10"/>
  <c r="E38" i="10"/>
  <c r="E34" i="10"/>
  <c r="E30" i="10"/>
  <c r="E26" i="10"/>
  <c r="E22" i="10"/>
  <c r="E18" i="10"/>
  <c r="E14" i="10"/>
  <c r="E10" i="10"/>
  <c r="E6" i="10"/>
  <c r="E3" i="10"/>
  <c r="E88" i="4"/>
  <c r="E84" i="4"/>
  <c r="E80" i="4"/>
  <c r="E76" i="4"/>
  <c r="E72" i="4"/>
  <c r="E68" i="4"/>
  <c r="E64" i="4"/>
  <c r="E60" i="4"/>
  <c r="E56" i="4"/>
  <c r="E52" i="4"/>
  <c r="E48" i="4"/>
  <c r="E44" i="4"/>
  <c r="E40" i="4"/>
  <c r="E36" i="4"/>
  <c r="E32" i="4"/>
  <c r="E28" i="4"/>
  <c r="E24" i="4"/>
  <c r="E20" i="4"/>
  <c r="E16" i="4"/>
  <c r="E12" i="4"/>
  <c r="E8" i="4"/>
  <c r="E4" i="4"/>
  <c r="E87" i="4"/>
  <c r="E83" i="4"/>
  <c r="E79" i="4"/>
  <c r="E75" i="4"/>
  <c r="E71" i="4"/>
  <c r="E67" i="4"/>
  <c r="E63" i="4"/>
  <c r="E59" i="4"/>
  <c r="E55" i="4"/>
  <c r="E51" i="4"/>
  <c r="E47" i="4"/>
  <c r="E43" i="4"/>
  <c r="E39" i="4"/>
  <c r="E35" i="4"/>
  <c r="E31" i="4"/>
  <c r="E27" i="4"/>
  <c r="E23" i="4"/>
  <c r="E19" i="4"/>
  <c r="E15" i="4"/>
  <c r="E11" i="4"/>
  <c r="E7" i="4"/>
  <c r="E2" i="4"/>
  <c r="E86" i="4"/>
  <c r="E82" i="4"/>
  <c r="E78" i="4"/>
  <c r="E74" i="4"/>
  <c r="E70" i="4"/>
  <c r="E66" i="4"/>
  <c r="E62" i="4"/>
  <c r="E58" i="4"/>
  <c r="E54" i="4"/>
  <c r="E50" i="4"/>
  <c r="E46" i="4"/>
  <c r="E42" i="4"/>
  <c r="E38" i="4"/>
  <c r="E34" i="4"/>
  <c r="E30" i="4"/>
  <c r="E26" i="4"/>
  <c r="E22" i="4"/>
  <c r="E18" i="4"/>
  <c r="E14" i="4"/>
  <c r="E10" i="4"/>
  <c r="E6" i="4"/>
  <c r="E85" i="4"/>
  <c r="E81" i="4"/>
  <c r="E77" i="4"/>
  <c r="E73" i="4"/>
  <c r="E69" i="4"/>
  <c r="E65" i="4"/>
  <c r="E61" i="4"/>
  <c r="E57" i="4"/>
  <c r="E53" i="4"/>
  <c r="E49" i="4"/>
  <c r="E45" i="4"/>
  <c r="E41" i="4"/>
  <c r="E37" i="4"/>
  <c r="E33" i="4"/>
  <c r="E29" i="4"/>
  <c r="E25" i="4"/>
  <c r="E21" i="4"/>
  <c r="E17" i="4"/>
  <c r="E13" i="4"/>
  <c r="E9" i="4"/>
  <c r="E5" i="4"/>
  <c r="E3" i="4"/>
  <c r="A37" i="3"/>
  <c r="A72" i="4" l="1"/>
  <c r="A8" i="4"/>
  <c r="A59" i="4"/>
  <c r="A18" i="4"/>
  <c r="A50" i="4"/>
  <c r="A9" i="4"/>
  <c r="A5" i="4"/>
  <c r="A36" i="4"/>
  <c r="A87" i="4"/>
  <c r="A23" i="4"/>
  <c r="A62" i="4"/>
  <c r="A64" i="4"/>
  <c r="A10" i="4"/>
  <c r="A51" i="4"/>
  <c r="A81" i="4"/>
  <c r="A42" i="4"/>
  <c r="A76" i="4"/>
  <c r="A12" i="4"/>
  <c r="A63" i="4"/>
  <c r="A2" i="4"/>
  <c r="A54" i="4"/>
  <c r="A25" i="4"/>
  <c r="A56" i="4"/>
  <c r="A69" i="4"/>
  <c r="A43" i="4"/>
  <c r="A73" i="4"/>
  <c r="A34" i="4"/>
  <c r="A78" i="4"/>
  <c r="A84" i="4"/>
  <c r="A20" i="4"/>
  <c r="A71" i="4"/>
  <c r="A7" i="4"/>
  <c r="A30" i="4"/>
  <c r="A48" i="4"/>
  <c r="A53" i="4"/>
  <c r="A35" i="4"/>
  <c r="A61" i="4"/>
  <c r="A26" i="4"/>
  <c r="A60" i="4"/>
  <c r="A6" i="4"/>
  <c r="A47" i="4"/>
  <c r="A77" i="4"/>
  <c r="A38" i="4"/>
  <c r="A41" i="4"/>
  <c r="A40" i="4"/>
  <c r="A45" i="4"/>
  <c r="A27" i="4"/>
  <c r="A82" i="4"/>
  <c r="A85" i="4"/>
  <c r="A46" i="4"/>
  <c r="A68" i="4"/>
  <c r="A4" i="4"/>
  <c r="A55" i="4"/>
  <c r="A14" i="4"/>
  <c r="A29" i="4"/>
  <c r="A32" i="4"/>
  <c r="A83" i="4"/>
  <c r="A19" i="4"/>
  <c r="A74" i="4"/>
  <c r="A17" i="4"/>
  <c r="A44" i="4"/>
  <c r="A49" i="4"/>
  <c r="A31" i="4"/>
  <c r="A86" i="4"/>
  <c r="A22" i="4"/>
  <c r="A88" i="4"/>
  <c r="A24" i="4"/>
  <c r="A75" i="4"/>
  <c r="A11" i="4"/>
  <c r="A66" i="4"/>
  <c r="A21" i="4"/>
  <c r="A33" i="4"/>
  <c r="A52" i="4"/>
  <c r="A57" i="4"/>
  <c r="A39" i="4"/>
  <c r="A65" i="4"/>
  <c r="A80" i="4"/>
  <c r="A16" i="4"/>
  <c r="A67" i="4"/>
  <c r="A3" i="4"/>
  <c r="A58" i="4"/>
  <c r="A13" i="4"/>
  <c r="A28" i="4"/>
  <c r="A79" i="4"/>
  <c r="A15" i="4"/>
  <c r="A70" i="4"/>
  <c r="A37" i="4"/>
  <c r="A38" i="3"/>
  <c r="I2" i="3"/>
  <c r="B2" i="3" l="1"/>
  <c r="B36" i="3"/>
  <c r="B32" i="3"/>
  <c r="B28" i="3"/>
  <c r="B24" i="3"/>
  <c r="B20" i="3"/>
  <c r="B16" i="3"/>
  <c r="B12" i="3"/>
  <c r="B8" i="3"/>
  <c r="B4" i="3"/>
  <c r="B37" i="3"/>
  <c r="B33" i="3"/>
  <c r="B29" i="3"/>
  <c r="B25" i="3"/>
  <c r="B21" i="3"/>
  <c r="B17" i="3"/>
  <c r="B13" i="3"/>
  <c r="B9" i="3"/>
  <c r="B5" i="3"/>
  <c r="B38" i="3"/>
  <c r="B34" i="3"/>
  <c r="B30" i="3"/>
  <c r="B26" i="3"/>
  <c r="B22" i="3"/>
  <c r="B18" i="3"/>
  <c r="B14" i="3"/>
  <c r="B10" i="3"/>
  <c r="B6" i="3"/>
  <c r="B35" i="3"/>
  <c r="B31" i="3"/>
  <c r="B27" i="3"/>
  <c r="B23" i="3"/>
  <c r="B19" i="3"/>
  <c r="B15" i="3"/>
  <c r="B11" i="3"/>
  <c r="B7" i="3"/>
  <c r="B3" i="3"/>
  <c r="A39" i="3"/>
  <c r="B39" i="3" s="1"/>
  <c r="H2" i="3"/>
  <c r="I30" i="3"/>
  <c r="H14" i="3"/>
  <c r="H19" i="3"/>
  <c r="I37" i="3"/>
  <c r="I25" i="3"/>
  <c r="G15" i="3"/>
  <c r="G37" i="3"/>
  <c r="H39" i="3"/>
  <c r="H23" i="3"/>
  <c r="G10" i="3"/>
  <c r="G11" i="3"/>
  <c r="G31" i="3"/>
  <c r="I34" i="3"/>
  <c r="I23" i="3"/>
  <c r="G12" i="3"/>
  <c r="H6" i="3"/>
  <c r="H35" i="3"/>
  <c r="H15" i="3"/>
  <c r="G28" i="3"/>
  <c r="H26" i="3"/>
  <c r="G13" i="3"/>
  <c r="I10" i="3"/>
  <c r="H20" i="3"/>
  <c r="H29" i="3"/>
  <c r="I17" i="3"/>
  <c r="G26" i="3"/>
  <c r="H31" i="3"/>
  <c r="H24" i="3"/>
  <c r="I35" i="3"/>
  <c r="I28" i="3"/>
  <c r="I21" i="3"/>
  <c r="G4" i="3"/>
  <c r="I12" i="3"/>
  <c r="I27" i="3"/>
  <c r="I20" i="3"/>
  <c r="H27" i="3"/>
  <c r="I29" i="3"/>
  <c r="G35" i="3"/>
  <c r="H38" i="3"/>
  <c r="H9" i="3"/>
  <c r="G22" i="3"/>
  <c r="H16" i="3"/>
  <c r="I38" i="3"/>
  <c r="G33" i="3"/>
  <c r="I26" i="3"/>
  <c r="I15" i="3"/>
  <c r="G16" i="3"/>
  <c r="I32" i="3"/>
  <c r="G38" i="3"/>
  <c r="H32" i="3"/>
  <c r="H30" i="3"/>
  <c r="H13" i="3"/>
  <c r="G30" i="3"/>
  <c r="I16" i="3"/>
  <c r="H7" i="3"/>
  <c r="I33" i="3"/>
  <c r="H12" i="3"/>
  <c r="G6" i="3"/>
  <c r="G36" i="3"/>
  <c r="G7" i="3"/>
  <c r="G21" i="3"/>
  <c r="G25" i="3"/>
  <c r="G8" i="3"/>
  <c r="I6" i="3"/>
  <c r="G5" i="3"/>
  <c r="H34" i="3"/>
  <c r="G14" i="3"/>
  <c r="I7" i="3"/>
  <c r="H3" i="3"/>
  <c r="I4" i="3"/>
  <c r="G32" i="3"/>
  <c r="H33" i="3"/>
  <c r="H10" i="3"/>
  <c r="G24" i="3"/>
  <c r="H18" i="3"/>
  <c r="H11" i="3"/>
  <c r="I9" i="3"/>
  <c r="G29" i="3"/>
  <c r="H17" i="3"/>
  <c r="I11" i="3"/>
  <c r="H5" i="3"/>
  <c r="I24" i="3"/>
  <c r="G23" i="3"/>
  <c r="G19" i="3"/>
  <c r="G17" i="3"/>
  <c r="H25" i="3"/>
  <c r="G9" i="3"/>
  <c r="I8" i="3"/>
  <c r="G27" i="3"/>
  <c r="I13" i="3"/>
  <c r="H4" i="3"/>
  <c r="I31" i="3"/>
  <c r="G39" i="3"/>
  <c r="H22" i="3"/>
  <c r="H8" i="3"/>
  <c r="H36" i="3"/>
  <c r="G20" i="3"/>
  <c r="I3" i="3"/>
  <c r="I39" i="3"/>
  <c r="G3" i="3"/>
  <c r="I14" i="3"/>
  <c r="I22" i="3"/>
  <c r="I36" i="3"/>
  <c r="G2" i="3"/>
  <c r="I18" i="3"/>
  <c r="G18" i="3"/>
  <c r="H28" i="3"/>
  <c r="I5" i="3"/>
  <c r="H21" i="3"/>
  <c r="H37" i="3"/>
  <c r="G34" i="3"/>
  <c r="I19" i="3"/>
  <c r="A40" i="3" l="1"/>
  <c r="I40" i="3"/>
  <c r="H40" i="3"/>
  <c r="G40" i="3"/>
  <c r="B40" i="3" l="1"/>
  <c r="A41" i="3"/>
  <c r="I41" i="3"/>
  <c r="H41" i="3"/>
  <c r="G41" i="3"/>
  <c r="B41" i="3" l="1"/>
  <c r="A42" i="3"/>
  <c r="I42" i="3"/>
  <c r="G42" i="3"/>
  <c r="H42" i="3"/>
  <c r="B42" i="3" l="1"/>
  <c r="A43" i="3"/>
  <c r="I43" i="3"/>
  <c r="H43" i="3"/>
  <c r="G43" i="3"/>
  <c r="B43" i="3" l="1"/>
  <c r="A44" i="3"/>
  <c r="G44" i="3"/>
  <c r="I44" i="3"/>
  <c r="H44" i="3"/>
  <c r="B44" i="3" l="1"/>
  <c r="A45" i="3"/>
  <c r="G45" i="3"/>
  <c r="I45" i="3"/>
  <c r="H45" i="3"/>
  <c r="B45" i="3" l="1"/>
  <c r="A46" i="3"/>
  <c r="J46" i="3"/>
  <c r="H46" i="3"/>
  <c r="G46" i="3"/>
  <c r="I46" i="3"/>
  <c r="B46" i="3" l="1"/>
  <c r="A47" i="3"/>
  <c r="I47" i="3"/>
  <c r="K46" i="3"/>
  <c r="G47" i="3"/>
  <c r="H47" i="3"/>
  <c r="B47" i="3" l="1"/>
  <c r="A48" i="3"/>
  <c r="H48" i="3"/>
  <c r="I48" i="3"/>
  <c r="G48" i="3"/>
  <c r="B48" i="3" l="1"/>
  <c r="A49" i="3"/>
  <c r="G49" i="3"/>
  <c r="I49" i="3"/>
  <c r="H49" i="3"/>
  <c r="B49" i="3" l="1"/>
  <c r="A50" i="3"/>
  <c r="G50" i="3"/>
  <c r="H50" i="3"/>
  <c r="I50" i="3"/>
  <c r="B50" i="3" l="1"/>
  <c r="A51" i="3"/>
  <c r="G51" i="3"/>
  <c r="H51" i="3"/>
  <c r="I51" i="3"/>
  <c r="B51" i="3" l="1"/>
  <c r="A52" i="3"/>
  <c r="G52" i="3"/>
  <c r="I52" i="3"/>
  <c r="H52" i="3"/>
  <c r="Q57" i="10" l="1"/>
  <c r="Q42" i="10"/>
  <c r="Q52" i="10"/>
  <c r="Q26" i="10"/>
  <c r="Q18" i="10"/>
  <c r="Q25" i="10"/>
  <c r="Q40" i="10"/>
  <c r="Q44" i="10"/>
  <c r="Q16" i="10"/>
  <c r="Q43" i="10"/>
  <c r="Q34" i="10"/>
  <c r="Q56" i="10"/>
  <c r="Q33" i="10"/>
  <c r="Q54" i="10"/>
  <c r="Q36" i="10"/>
  <c r="Q22" i="10"/>
  <c r="Q53" i="10"/>
  <c r="Q23" i="10"/>
  <c r="Q11" i="10"/>
  <c r="Q20" i="10"/>
  <c r="Q24" i="10"/>
  <c r="Q15" i="10"/>
  <c r="Q19" i="10"/>
  <c r="Q35" i="10"/>
  <c r="Q9" i="10"/>
  <c r="Q29" i="10"/>
  <c r="Q4" i="10"/>
  <c r="Q51" i="10"/>
  <c r="Q41" i="10"/>
  <c r="Q21" i="10"/>
  <c r="Q13" i="10"/>
  <c r="Q39" i="10"/>
  <c r="Q37" i="10"/>
  <c r="Q46" i="10"/>
  <c r="Q55" i="10"/>
  <c r="Q6" i="10"/>
  <c r="Q27" i="10"/>
  <c r="Q31" i="10"/>
  <c r="Q8" i="10"/>
  <c r="Q28" i="10"/>
  <c r="Q12" i="10"/>
  <c r="Q14" i="10"/>
  <c r="Q7" i="10"/>
  <c r="Q5" i="10"/>
  <c r="Q50" i="10"/>
  <c r="Q49" i="10"/>
  <c r="Q47" i="10"/>
  <c r="Q45" i="10"/>
  <c r="Q30" i="10"/>
  <c r="Q17" i="10"/>
  <c r="Q48" i="10"/>
  <c r="Q10" i="10"/>
  <c r="Q32" i="10"/>
  <c r="Q38" i="10"/>
  <c r="M57" i="10"/>
  <c r="M54" i="10"/>
  <c r="M34" i="10"/>
  <c r="M31" i="10"/>
  <c r="M53" i="10"/>
  <c r="M20" i="10"/>
  <c r="M32" i="10"/>
  <c r="M30" i="10"/>
  <c r="M9" i="10"/>
  <c r="M55" i="10"/>
  <c r="M18" i="10"/>
  <c r="M4" i="10"/>
  <c r="M15" i="10"/>
  <c r="M42" i="10"/>
  <c r="M47" i="10"/>
  <c r="M26" i="10"/>
  <c r="M37" i="10"/>
  <c r="M7" i="10"/>
  <c r="M49" i="10"/>
  <c r="M13" i="10"/>
  <c r="M11" i="10"/>
  <c r="M10" i="10"/>
  <c r="M33" i="10"/>
  <c r="M36" i="10"/>
  <c r="M35" i="10"/>
  <c r="M38" i="10"/>
  <c r="M23" i="10"/>
  <c r="M24" i="10"/>
  <c r="M6" i="10"/>
  <c r="M14" i="10"/>
  <c r="M50" i="10"/>
  <c r="M21" i="10"/>
  <c r="M45" i="10"/>
  <c r="M12" i="10"/>
  <c r="M40" i="10"/>
  <c r="M39" i="10"/>
  <c r="M41" i="10"/>
  <c r="M16" i="10"/>
  <c r="M28" i="10"/>
  <c r="M43" i="10"/>
  <c r="M25" i="10"/>
  <c r="M44" i="10"/>
  <c r="M8" i="10"/>
  <c r="M48" i="10"/>
  <c r="M22" i="10"/>
  <c r="M52" i="10"/>
  <c r="M56" i="10"/>
  <c r="M46" i="10"/>
  <c r="M51" i="10"/>
  <c r="M17" i="10"/>
  <c r="M27" i="10"/>
  <c r="M5" i="10"/>
  <c r="M29" i="10"/>
  <c r="M19" i="10"/>
  <c r="I57" i="10"/>
  <c r="I25" i="10"/>
  <c r="I36" i="10"/>
  <c r="I50" i="10"/>
  <c r="I41" i="10"/>
  <c r="I49" i="10"/>
  <c r="I33" i="10"/>
  <c r="I42" i="10"/>
  <c r="I10" i="10"/>
  <c r="I29" i="10"/>
  <c r="I56" i="10"/>
  <c r="I37" i="10"/>
  <c r="I6" i="10"/>
  <c r="I12" i="10"/>
  <c r="I16" i="10"/>
  <c r="I39" i="10"/>
  <c r="I18" i="10"/>
  <c r="I21" i="10"/>
  <c r="I32" i="10"/>
  <c r="I40" i="10"/>
  <c r="I46" i="10"/>
  <c r="I5" i="10"/>
  <c r="I11" i="10"/>
  <c r="I31" i="10"/>
  <c r="I43" i="10"/>
  <c r="I13" i="10"/>
  <c r="I8" i="10"/>
  <c r="I34" i="10"/>
  <c r="I23" i="10"/>
  <c r="I48" i="10"/>
  <c r="I26" i="10"/>
  <c r="I24" i="10"/>
  <c r="I45" i="10"/>
  <c r="I28" i="10"/>
  <c r="I9" i="10"/>
  <c r="I14" i="10"/>
  <c r="I53" i="10"/>
  <c r="I20" i="10"/>
  <c r="I52" i="10"/>
  <c r="I44" i="10"/>
  <c r="I22" i="10"/>
  <c r="I7" i="10"/>
  <c r="I19" i="10"/>
  <c r="I17" i="10"/>
  <c r="I15" i="10"/>
  <c r="I55" i="10"/>
  <c r="I4" i="10"/>
  <c r="I54" i="10"/>
  <c r="I51" i="10"/>
  <c r="I30" i="10"/>
  <c r="I38" i="10"/>
  <c r="I27" i="10"/>
  <c r="I47" i="10"/>
  <c r="I35" i="10"/>
  <c r="Q3" i="10"/>
  <c r="M3" i="10"/>
  <c r="I3" i="10"/>
  <c r="B52" i="3"/>
  <c r="R3" i="10" l="1"/>
  <c r="R57" i="10"/>
  <c r="R53" i="10"/>
  <c r="R49" i="10"/>
  <c r="R45" i="10"/>
  <c r="R41" i="10"/>
  <c r="R37" i="10"/>
  <c r="R33" i="10"/>
  <c r="R29" i="10"/>
  <c r="R25" i="10"/>
  <c r="R21" i="10"/>
  <c r="R17" i="10"/>
  <c r="R13" i="10"/>
  <c r="R9" i="10"/>
  <c r="R5" i="10"/>
  <c r="R56" i="10"/>
  <c r="R52" i="10"/>
  <c r="R48" i="10"/>
  <c r="R44" i="10"/>
  <c r="R40" i="10"/>
  <c r="R36" i="10"/>
  <c r="R32" i="10"/>
  <c r="R28" i="10"/>
  <c r="R24" i="10"/>
  <c r="R20" i="10"/>
  <c r="R16" i="10"/>
  <c r="R12" i="10"/>
  <c r="R8" i="10"/>
  <c r="R4" i="10"/>
  <c r="R55" i="10"/>
  <c r="R51" i="10"/>
  <c r="R47" i="10"/>
  <c r="R43" i="10"/>
  <c r="R39" i="10"/>
  <c r="R35" i="10"/>
  <c r="R31" i="10"/>
  <c r="R27" i="10"/>
  <c r="R23" i="10"/>
  <c r="R19" i="10"/>
  <c r="R15" i="10"/>
  <c r="R11" i="10"/>
  <c r="R7" i="10"/>
  <c r="R54" i="10"/>
  <c r="R50" i="10"/>
  <c r="R46" i="10"/>
  <c r="R42" i="10"/>
  <c r="R38" i="10"/>
  <c r="R34" i="10"/>
  <c r="R30" i="10"/>
  <c r="R26" i="10"/>
  <c r="R22" i="10"/>
  <c r="R18" i="10"/>
  <c r="R14" i="10"/>
  <c r="R10" i="10"/>
  <c r="R6" i="10"/>
  <c r="N3" i="10"/>
  <c r="N57" i="10"/>
  <c r="N53" i="10"/>
  <c r="N49" i="10"/>
  <c r="N45" i="10"/>
  <c r="N41" i="10"/>
  <c r="N37" i="10"/>
  <c r="N33" i="10"/>
  <c r="N29" i="10"/>
  <c r="N25" i="10"/>
  <c r="N21" i="10"/>
  <c r="N17" i="10"/>
  <c r="N13" i="10"/>
  <c r="N9" i="10"/>
  <c r="N5" i="10"/>
  <c r="N51" i="10"/>
  <c r="N35" i="10"/>
  <c r="N23" i="10"/>
  <c r="N15" i="10"/>
  <c r="N7" i="10"/>
  <c r="N50" i="10"/>
  <c r="N42" i="10"/>
  <c r="N34" i="10"/>
  <c r="N26" i="10"/>
  <c r="N14" i="10"/>
  <c r="N6" i="10"/>
  <c r="N56" i="10"/>
  <c r="N52" i="10"/>
  <c r="N48" i="10"/>
  <c r="N44" i="10"/>
  <c r="N40" i="10"/>
  <c r="N36" i="10"/>
  <c r="N32" i="10"/>
  <c r="N28" i="10"/>
  <c r="N24" i="10"/>
  <c r="N20" i="10"/>
  <c r="N16" i="10"/>
  <c r="N12" i="10"/>
  <c r="N8" i="10"/>
  <c r="N4" i="10"/>
  <c r="N55" i="10"/>
  <c r="N47" i="10"/>
  <c r="N43" i="10"/>
  <c r="N39" i="10"/>
  <c r="N31" i="10"/>
  <c r="N27" i="10"/>
  <c r="N19" i="10"/>
  <c r="N11" i="10"/>
  <c r="N54" i="10"/>
  <c r="N46" i="10"/>
  <c r="N38" i="10"/>
  <c r="N30" i="10"/>
  <c r="N22" i="10"/>
  <c r="N18" i="10"/>
  <c r="N10" i="10"/>
  <c r="J12" i="10" l="1"/>
  <c r="J29" i="10"/>
  <c r="J10" i="10"/>
  <c r="J42" i="10"/>
  <c r="J48" i="10"/>
  <c r="J23" i="10"/>
  <c r="J47" i="10"/>
  <c r="J55" i="10"/>
  <c r="J14" i="10"/>
  <c r="J30" i="10"/>
  <c r="J46" i="10"/>
  <c r="J28" i="10"/>
  <c r="J5" i="10"/>
  <c r="J21" i="10"/>
  <c r="J45" i="10"/>
  <c r="J26" i="10"/>
  <c r="J32" i="10"/>
  <c r="J15" i="10"/>
  <c r="J39" i="10"/>
  <c r="J4" i="10"/>
  <c r="J20" i="10"/>
  <c r="J36" i="10"/>
  <c r="J52" i="10"/>
  <c r="J9" i="10"/>
  <c r="J17" i="10"/>
  <c r="J25" i="10"/>
  <c r="J33" i="10"/>
  <c r="J41" i="10"/>
  <c r="J49" i="10"/>
  <c r="J57" i="10"/>
  <c r="J18" i="10"/>
  <c r="J34" i="10"/>
  <c r="J50" i="10"/>
  <c r="J44" i="10"/>
  <c r="J13" i="10"/>
  <c r="J37" i="10"/>
  <c r="J53" i="10"/>
  <c r="J3" i="10"/>
  <c r="S3" i="10" s="1"/>
  <c r="J16" i="10"/>
  <c r="J7" i="10"/>
  <c r="J31" i="10"/>
  <c r="J8" i="10"/>
  <c r="J24" i="10"/>
  <c r="J40" i="10"/>
  <c r="J56" i="10"/>
  <c r="J11" i="10"/>
  <c r="J19" i="10"/>
  <c r="J27" i="10"/>
  <c r="J35" i="10"/>
  <c r="J43" i="10"/>
  <c r="J51" i="10"/>
  <c r="J6" i="10"/>
  <c r="J22" i="10"/>
  <c r="J38" i="10"/>
  <c r="J54" i="10"/>
  <c r="S4" i="10" l="1"/>
  <c r="S7" i="10"/>
  <c r="S57" i="10"/>
  <c r="S29" i="10"/>
  <c r="S35" i="10"/>
  <c r="S26" i="10"/>
  <c r="S13" i="10"/>
  <c r="S30" i="10"/>
  <c r="S11" i="10"/>
  <c r="S43" i="10"/>
  <c r="S8" i="10"/>
  <c r="S24" i="10"/>
  <c r="S40" i="10"/>
  <c r="S56" i="10"/>
  <c r="S34" i="10"/>
  <c r="S15" i="10"/>
  <c r="S47" i="10"/>
  <c r="S17" i="10"/>
  <c r="S33" i="10"/>
  <c r="S49" i="10"/>
  <c r="S22" i="10"/>
  <c r="S36" i="10"/>
  <c r="S45" i="10"/>
  <c r="S6" i="10"/>
  <c r="S38" i="10"/>
  <c r="S19" i="10"/>
  <c r="S51" i="10"/>
  <c r="S12" i="10"/>
  <c r="S28" i="10"/>
  <c r="S44" i="10"/>
  <c r="S10" i="10"/>
  <c r="S42" i="10"/>
  <c r="S23" i="10"/>
  <c r="S5" i="10"/>
  <c r="S21" i="10"/>
  <c r="S37" i="10"/>
  <c r="S53" i="10"/>
  <c r="S54" i="10"/>
  <c r="S20" i="10"/>
  <c r="S52" i="10"/>
  <c r="S39" i="10"/>
  <c r="S14" i="10"/>
  <c r="S46" i="10"/>
  <c r="S27" i="10"/>
  <c r="S55" i="10"/>
  <c r="S16" i="10"/>
  <c r="S32" i="10"/>
  <c r="S48" i="10"/>
  <c r="S18" i="10"/>
  <c r="S50" i="10"/>
  <c r="S31" i="10"/>
  <c r="S9" i="10"/>
  <c r="S25" i="10"/>
  <c r="S41" i="10"/>
  <c r="B2" i="13" l="1"/>
  <c r="B13" i="13"/>
  <c r="B21" i="13"/>
  <c r="B11" i="13"/>
  <c r="B10" i="13"/>
  <c r="B6" i="13"/>
  <c r="B8" i="13"/>
  <c r="B24" i="13"/>
  <c r="B17" i="13"/>
  <c r="B22" i="13"/>
  <c r="B15" i="13"/>
  <c r="B14" i="13"/>
  <c r="B12" i="13"/>
  <c r="B5" i="13"/>
  <c r="B3" i="13"/>
  <c r="B19" i="13"/>
  <c r="B18" i="13"/>
  <c r="B16" i="13"/>
  <c r="B9" i="13"/>
  <c r="B25" i="13"/>
  <c r="B7" i="13"/>
  <c r="B23" i="13"/>
  <c r="B4" i="13"/>
  <c r="B20" i="13"/>
</calcChain>
</file>

<file path=xl/sharedStrings.xml><?xml version="1.0" encoding="utf-8"?>
<sst xmlns="http://schemas.openxmlformats.org/spreadsheetml/2006/main" count="613" uniqueCount="318">
  <si>
    <t>Dropdwon Text</t>
  </si>
  <si>
    <t>Active</t>
  </si>
  <si>
    <t>In-Scope Workshop Questions</t>
  </si>
  <si>
    <t>#</t>
  </si>
  <si>
    <t>Who</t>
  </si>
  <si>
    <t>Why</t>
  </si>
  <si>
    <t>How</t>
  </si>
  <si>
    <t>Row?</t>
  </si>
  <si>
    <t>select an option…</t>
  </si>
  <si>
    <t>"C" suite strategic planners</t>
  </si>
  <si>
    <t>New Product / Services</t>
  </si>
  <si>
    <t>Strategic Plan</t>
  </si>
  <si>
    <t>x</t>
  </si>
  <si>
    <t>Tactical Plan</t>
  </si>
  <si>
    <t>Improved Delivery or Marketing of Existing Producs / Services</t>
  </si>
  <si>
    <t>Operations Plan</t>
  </si>
  <si>
    <t>Must reduce costs</t>
  </si>
  <si>
    <t>Business (non-IT) Managers</t>
  </si>
  <si>
    <t>Operations (IT) Managers</t>
  </si>
  <si>
    <t>Add capability / flexibility to support business needs</t>
  </si>
  <si>
    <t>Resolve a specific IT problem</t>
  </si>
  <si>
    <t>Service</t>
  </si>
  <si>
    <t>Option1</t>
  </si>
  <si>
    <t>Option2</t>
  </si>
  <si>
    <t>who</t>
  </si>
  <si>
    <t>why</t>
  </si>
  <si>
    <t>how</t>
  </si>
  <si>
    <t>Application Rationalization</t>
  </si>
  <si>
    <t>Excluded from virtualization</t>
  </si>
  <si>
    <t>shares data with virtualized apps</t>
  </si>
  <si>
    <t>manages a physical device</t>
  </si>
  <si>
    <t>common business functions</t>
  </si>
  <si>
    <t>Public Cloud Applications</t>
  </si>
  <si>
    <t>Private Cloud Applications</t>
  </si>
  <si>
    <t>Streamed Application</t>
  </si>
  <si>
    <t>Multi-Platform</t>
  </si>
  <si>
    <t>Uncommon business function</t>
  </si>
  <si>
    <t>VDI hosted</t>
  </si>
  <si>
    <t>Graphically Intense buisness function</t>
  </si>
  <si>
    <t>Application Support Software</t>
  </si>
  <si>
    <t>Purpose</t>
  </si>
  <si>
    <t>In this section, identify the level from the customer organization who will attend the workshop, why, and what type of action they expect to be able to plan as a result of this workshop</t>
  </si>
  <si>
    <t>Notes</t>
  </si>
  <si>
    <t>Customer:</t>
  </si>
  <si>
    <t>Paymore &amp; Suffer Healthcare Services</t>
  </si>
  <si>
    <t>Location:</t>
  </si>
  <si>
    <t>55 Payne Ave, Ipswitchanddie NY</t>
  </si>
  <si>
    <t>Billing Code:</t>
  </si>
  <si>
    <t>UETC-00.00</t>
  </si>
  <si>
    <t>Target date:</t>
  </si>
  <si>
    <t>Who &amp; Why? (Select from Dropdown)</t>
  </si>
  <si>
    <t>Workshop For:</t>
  </si>
  <si>
    <t>Workshop To:</t>
  </si>
  <si>
    <t>Consulting Output:</t>
  </si>
  <si>
    <t>In this section, identify the technical domains that the HP consultants at the workshop must be able to address</t>
  </si>
  <si>
    <t>This tab records the scope of the planned call</t>
  </si>
  <si>
    <t>Seq</t>
  </si>
  <si>
    <t>Question</t>
  </si>
  <si>
    <t>Key</t>
  </si>
  <si>
    <t>Mobile -- strategic?</t>
  </si>
  <si>
    <t>Flexible -- operational?</t>
  </si>
  <si>
    <t>Flexible -- tactical?</t>
  </si>
  <si>
    <t>Flexible -- strategic?</t>
  </si>
  <si>
    <t>Cloud -- operational?</t>
  </si>
  <si>
    <t>Cloud -- tactical?</t>
  </si>
  <si>
    <t>Cloud -- strategic?</t>
  </si>
  <si>
    <t>Optimized -- operational?</t>
  </si>
  <si>
    <t>Optimized -- tactical?</t>
  </si>
  <si>
    <t>Optimized -- strategic?</t>
  </si>
  <si>
    <t>Connected -- operational?</t>
  </si>
  <si>
    <t>Connected -- tactical?</t>
  </si>
  <si>
    <t>Connected -- strategic?</t>
  </si>
  <si>
    <t>Available -- operational?</t>
  </si>
  <si>
    <t>Available -- tactical?</t>
  </si>
  <si>
    <t>Available -- strategic?</t>
  </si>
  <si>
    <t>Secure -- operational?</t>
  </si>
  <si>
    <t>Secure -- tactical?</t>
  </si>
  <si>
    <t>Secure -- strategic?</t>
  </si>
  <si>
    <t>Protected -- operational?</t>
  </si>
  <si>
    <t>Protected -- tactical?</t>
  </si>
  <si>
    <t>Protected -- strategic?</t>
  </si>
  <si>
    <t>Mobile, BYOD -- operational?</t>
  </si>
  <si>
    <t>Mobile, BYOD -- tactical?</t>
  </si>
  <si>
    <t>Mobile, BYOD -- strategic?</t>
  </si>
  <si>
    <t>Thin Client -- operational?</t>
  </si>
  <si>
    <t>Thin Client -- tactical?</t>
  </si>
  <si>
    <t>Thin Client -- strategic?</t>
  </si>
  <si>
    <t>PC -- operational?</t>
  </si>
  <si>
    <t>PC -- tactical?</t>
  </si>
  <si>
    <t>PC -- strategic?</t>
  </si>
  <si>
    <t>Right Performance -- operational?</t>
  </si>
  <si>
    <t>Right Performance -- tactical?</t>
  </si>
  <si>
    <t>Right Performance -- strategic?</t>
  </si>
  <si>
    <t>Refresh Cycle -- operational?</t>
  </si>
  <si>
    <t>Refresh Cycle -- tactical?</t>
  </si>
  <si>
    <t>Refresh Cycle -- strategic?</t>
  </si>
  <si>
    <t>Strategy: Fixed vs Variable Cost -- operational?</t>
  </si>
  <si>
    <t>Strategy: Fixed vs Variable Cost -- tactical?</t>
  </si>
  <si>
    <t>Strategy: Fixed vs Variable Cost -- strategic?</t>
  </si>
  <si>
    <t>Continuous Service Improvement: Stagnant vs Ongoing -- operational?</t>
  </si>
  <si>
    <t>Continuous Service Improvement: Stagnant vs Ongoing -- tactical?</t>
  </si>
  <si>
    <t>Continuous Service Improvement: Stagnant vs Ongoing -- strategic?</t>
  </si>
  <si>
    <t>Availability: IT-Constrained vs Always-On -- operational?</t>
  </si>
  <si>
    <t>Availability: IT-Constrained vs Always-On -- tactical?</t>
  </si>
  <si>
    <t>Availability: IT-Constrained vs Always-On -- strategic?</t>
  </si>
  <si>
    <t>Capacity: Static vs Flexible -- operational?</t>
  </si>
  <si>
    <t>Capacity: Static vs Flexible -- tactical?</t>
  </si>
  <si>
    <t>Capacity: Static vs Flexible -- strategic?</t>
  </si>
  <si>
    <t>Security: At-Risk vs Secure -- operational?</t>
  </si>
  <si>
    <t>Security: At-Risk vs Secure -- tactical?</t>
  </si>
  <si>
    <t>Security: At-Risk vs Secure -- strategic?</t>
  </si>
  <si>
    <t>Continuity: Unreliable vs Mitigated -- operational?</t>
  </si>
  <si>
    <t>Continuity: Unreliable vs Mitigated -- tactical?</t>
  </si>
  <si>
    <t>Continuity: Unreliable vs Mitigated -- strategic?</t>
  </si>
  <si>
    <t>Change: Sudden vs Gradual -- operational?</t>
  </si>
  <si>
    <t>Change: Sudden vs Gradual -- tactical?</t>
  </si>
  <si>
    <t>Change: Sudden vs Gradual -- strategic?</t>
  </si>
  <si>
    <t>Support: Reactive vs Proactive -- operational?</t>
  </si>
  <si>
    <t>Support: Reactive vs Proactive -- tactical?</t>
  </si>
  <si>
    <t>Support: Reactive vs Proactive -- strategic?</t>
  </si>
  <si>
    <t>Problem: Sporadic vs Real-Time -- operational?</t>
  </si>
  <si>
    <t>Problem: Sporadic vs Real-Time -- tactical?</t>
  </si>
  <si>
    <t>Problem: Sporadic vs Real-Time -- strategic?</t>
  </si>
  <si>
    <t>Identity: Many &amp; Generic vs Single &amp; Personal -- operational?</t>
  </si>
  <si>
    <t>Identity: Many &amp; Generic vs Single &amp; Personal -- tactical?</t>
  </si>
  <si>
    <t>Identity: Many &amp; Generic vs Single &amp; Personal -- strategic?</t>
  </si>
  <si>
    <t>Personalized -- operational?</t>
  </si>
  <si>
    <t>Personalized -- tactical?</t>
  </si>
  <si>
    <t>Personalized -- strategic?</t>
  </si>
  <si>
    <t>Productive -- operational?</t>
  </si>
  <si>
    <t>Productive -- tactical?</t>
  </si>
  <si>
    <t>Productive -- strategic?</t>
  </si>
  <si>
    <t>Aware -- operational?</t>
  </si>
  <si>
    <t>Aware -- tactical?</t>
  </si>
  <si>
    <t>Aware -- strategic?</t>
  </si>
  <si>
    <t>Who 
Code</t>
  </si>
  <si>
    <t>What
Code</t>
  </si>
  <si>
    <t>What1</t>
  </si>
  <si>
    <t>What2</t>
  </si>
  <si>
    <t>What3</t>
  </si>
  <si>
    <t>What4</t>
  </si>
  <si>
    <t>What5</t>
  </si>
  <si>
    <t>What10</t>
  </si>
  <si>
    <t>What6</t>
  </si>
  <si>
    <t>What7</t>
  </si>
  <si>
    <t>What8</t>
  </si>
  <si>
    <t>What9</t>
  </si>
  <si>
    <t>Who 
Scope</t>
  </si>
  <si>
    <t>What
Scope</t>
  </si>
  <si>
    <t>Services</t>
  </si>
  <si>
    <t>Rep-ID</t>
  </si>
  <si>
    <t>Who1</t>
  </si>
  <si>
    <t>What11</t>
  </si>
  <si>
    <t>Who 
Q-ID</t>
  </si>
  <si>
    <t>What 
Q-ID</t>
  </si>
  <si>
    <t>SVC 
ID</t>
  </si>
  <si>
    <t>Who 
Scope?</t>
  </si>
  <si>
    <t>What 
Scope?</t>
  </si>
  <si>
    <t>Who16</t>
  </si>
  <si>
    <t>Who25</t>
  </si>
  <si>
    <t>Consulting Service offering #3</t>
  </si>
  <si>
    <t>Consulting Service offering #4</t>
  </si>
  <si>
    <t>Consulting Service offering #5</t>
  </si>
  <si>
    <t>Consulting Service offering #6</t>
  </si>
  <si>
    <t>Consulting Service offering #7</t>
  </si>
  <si>
    <t>Consulting Service offering #8</t>
  </si>
  <si>
    <t>Consulting Service offering #9</t>
  </si>
  <si>
    <t>Consulting Service offering #10</t>
  </si>
  <si>
    <t>Consulting Service offering #11</t>
  </si>
  <si>
    <t>Consulting Service offering #12</t>
  </si>
  <si>
    <t>Consulting Service offering #13</t>
  </si>
  <si>
    <t>Consulting Service offering #14</t>
  </si>
  <si>
    <t>Consulting Service offering #15</t>
  </si>
  <si>
    <t>Consulting Service offering #16</t>
  </si>
  <si>
    <t>Consulting Service offering #17</t>
  </si>
  <si>
    <t>Consulting Service offering #18</t>
  </si>
  <si>
    <t>Consulting Service offering #19</t>
  </si>
  <si>
    <t>Consulting Service offering #20</t>
  </si>
  <si>
    <t>Consulting Service offering #21</t>
  </si>
  <si>
    <t>Consulting Service offering #22</t>
  </si>
  <si>
    <t>Consulting Service offering #23</t>
  </si>
  <si>
    <t>Consulting Service offering #24</t>
  </si>
  <si>
    <t>Consulting Service offering #25</t>
  </si>
  <si>
    <t>Consulting Service offering #26</t>
  </si>
  <si>
    <t>Consulting Service offering #27</t>
  </si>
  <si>
    <t>Consulting Service offering #28</t>
  </si>
  <si>
    <t>Consulting Service offering #29</t>
  </si>
  <si>
    <t>Consulting Service offering #30</t>
  </si>
  <si>
    <t>Consulting Service offering #31</t>
  </si>
  <si>
    <t>Consulting Service offering #32</t>
  </si>
  <si>
    <t>Consulting Service offering #33</t>
  </si>
  <si>
    <t>Consulting Service offering #34</t>
  </si>
  <si>
    <t>Consulting Service offering #35</t>
  </si>
  <si>
    <t>Consulting Service offering #36</t>
  </si>
  <si>
    <t>Consulting Service offering #37</t>
  </si>
  <si>
    <t>Consulting Service offering #38</t>
  </si>
  <si>
    <t>Consulting Service offering #39</t>
  </si>
  <si>
    <t>Consulting Service offering #40</t>
  </si>
  <si>
    <t>Consulting Service offering #41</t>
  </si>
  <si>
    <t>Consulting Service offering #42</t>
  </si>
  <si>
    <t>Consulting Service offering #43</t>
  </si>
  <si>
    <t>Consulting Service offering #44</t>
  </si>
  <si>
    <t>Consulting Service offering #45</t>
  </si>
  <si>
    <t>Consulting Service offering #46</t>
  </si>
  <si>
    <t>Consulting Service offering #47</t>
  </si>
  <si>
    <t>Consulting Service offering #48</t>
  </si>
  <si>
    <t>Consulting Service offering #49</t>
  </si>
  <si>
    <t>Consulting Service offering #50</t>
  </si>
  <si>
    <t>Consulting Service offering #51</t>
  </si>
  <si>
    <t>Consulting Service offering #52</t>
  </si>
  <si>
    <t>Consulting Service offering #53</t>
  </si>
  <si>
    <t>Consulting Service offering #54</t>
  </si>
  <si>
    <t>Consulting Service offering #55</t>
  </si>
  <si>
    <t>who1what1Chemistry</t>
  </si>
  <si>
    <t>The heads of the business units told me in a staff meeting that they needed these apps</t>
  </si>
  <si>
    <t>The IT department purchased these apps on a enterprise license after consulting the business units via email</t>
  </si>
  <si>
    <t xml:space="preserve">Describe how you reached the decision to purchase the common applications you have now? </t>
  </si>
  <si>
    <t>Describe a time you tried to persuade the company to purchase new software?</t>
  </si>
  <si>
    <t>I emailed the head of the IT department to tell him the new version of Microsoft Office had a new feature we needed. Could we upgrade?</t>
  </si>
  <si>
    <t>I raised the need for an upgrade of our software with my manager in his staff meeting. He raised it at the meeting with department managers that included the IT manager</t>
  </si>
  <si>
    <t>Chemistry 
Answers</t>
  </si>
  <si>
    <t>Solution
Answers</t>
  </si>
  <si>
    <t>Software 
Answers</t>
  </si>
  <si>
    <t>Row Id</t>
  </si>
  <si>
    <t>Chemistry</t>
  </si>
  <si>
    <t>Solution</t>
  </si>
  <si>
    <t>Software</t>
  </si>
  <si>
    <t>who1what1Solution</t>
  </si>
  <si>
    <t>who1what1Software</t>
  </si>
  <si>
    <t>As far as I know, we have no legal or regulatory constraints special to our industry</t>
  </si>
  <si>
    <t>As far as I know, no one outside this company places any constraints on our choice of software</t>
  </si>
  <si>
    <t>who1what2Chemistry</t>
  </si>
  <si>
    <t>C-Score</t>
  </si>
  <si>
    <t>SO-Score</t>
  </si>
  <si>
    <t>SW-Score</t>
  </si>
  <si>
    <t>Range 
(+/1)</t>
  </si>
  <si>
    <t>Chemistry 
Average</t>
  </si>
  <si>
    <t>Chemistry 
Score</t>
  </si>
  <si>
    <t>Chemistry 
Good</t>
  </si>
  <si>
    <t>Solution 
Average</t>
  </si>
  <si>
    <t>Solution 
Score</t>
  </si>
  <si>
    <t>Solution 
Good</t>
  </si>
  <si>
    <t>Software 
Average</t>
  </si>
  <si>
    <t>Software 
Score</t>
  </si>
  <si>
    <t>Software
Good</t>
  </si>
  <si>
    <t>ID</t>
  </si>
  <si>
    <t>Consulting Offering</t>
  </si>
  <si>
    <t>The legal department told me that we have to store files related to our government customers - including Microsoft Office files - in storage we control, in the government's country</t>
  </si>
  <si>
    <t>Our contracts with our government customers require we use the specific versions of MS Office that they have approved, installed on the local disk</t>
  </si>
  <si>
    <t>Consult to central IT department to select common software compliant with official standards for companies who sell services to the Government</t>
  </si>
  <si>
    <t>who1what2Solution</t>
  </si>
  <si>
    <t>who1what2Software</t>
  </si>
  <si>
    <t>Conduct workshop with business unit managers to select common software compliant with official standards for companies who sell services to the Government</t>
  </si>
  <si>
    <t>This workbook demonstrates the use of decision-trees to structure the selection of questions to review with selected end-users, and the use of scored answers to the questions as signals with which to determine follow-on services to propose</t>
  </si>
  <si>
    <t>Protected Worksheets</t>
  </si>
  <si>
    <t>Scope</t>
  </si>
  <si>
    <t>Call Notes</t>
  </si>
  <si>
    <t>Foll-up</t>
  </si>
  <si>
    <t>~~ "Ref" tabs ~~</t>
  </si>
  <si>
    <t>ref_questions</t>
  </si>
  <si>
    <t>ref_choices</t>
  </si>
  <si>
    <t>ref_services</t>
  </si>
  <si>
    <t>ref_tree_who</t>
  </si>
  <si>
    <t>ref_tree_what</t>
  </si>
  <si>
    <t>~~Hidden tabs~~</t>
  </si>
  <si>
    <t>ref_select_who</t>
  </si>
  <si>
    <t>ref_select_what</t>
  </si>
  <si>
    <t>This file is part of GNU package.
GNU package is free software: you can redistribute it and/or modify it under the terms of the GNU Lesser General Public License as published by the Free Software Foundation; version 3 of the License.
GNU package is distributed in the hope that it will be useful but WITHOUT ANY WARRANTY; without even the implied warranty of MERCHANTABILITY or FITNESS FOR A PARTICULAR PURPOSE.  See the GNU General Public License for more details at the following URL
http://www.gnu.org/licenses/.</t>
  </si>
  <si>
    <t>Copyright
2015</t>
  </si>
  <si>
    <t>Some worksheets may be protected to prevent accidental changes to cell formula. No sheets are password protected. If you want to see the formula and/or copy the formula for use in your own worksheets, go to the "REVIEW" menu and click on "Unprotect Sheet"</t>
  </si>
  <si>
    <t>~~ Input Sheets ~~</t>
  </si>
  <si>
    <t>Once you have these tabs configured for ongoing use, you may choose to hide them in order to simplify the user-interface presented to the team of consultants who will use the workbook</t>
  </si>
  <si>
    <t>Contacts</t>
  </si>
  <si>
    <t>Organization</t>
  </si>
  <si>
    <t>Role</t>
  </si>
  <si>
    <t>SMTP Email</t>
  </si>
  <si>
    <t>Enter customer identification
Select the options from dropdowns. Note that these dropdowns are populated with the options listed on the decision-trees. You must select the options in the order in which the fields are present on the screen as each selection will change the options available on the dropdown lists below it.</t>
  </si>
  <si>
    <t>Enter the names and email addresses of the people to whom you will send the agenda (prior to each call) and the meeting notes (after each call).</t>
  </si>
  <si>
    <t>First Name</t>
  </si>
  <si>
    <t>Last Name</t>
  </si>
  <si>
    <t>The options you chose on the "Scope" tab determine the questions presented on the "Call Notes" tab. The options with which to score answers appear as dropdowns in columns C:E. Column F allows you to enter any text you choose</t>
  </si>
  <si>
    <t>The "Follow-Up" tab lists the services that match the scoring of the questions in "Call Notes" tab</t>
  </si>
  <si>
    <t>The "ref_questions" tab allows to specify (1) the questions that go with each combination of options selected on the "Scope" tab, and (2) the options that will populate the scoring dropdowns for the questions. 
Both the answers and the scoring dropdowns appear on the  "Call Notes" tab
The values in the columns "Who Code" and "What Code" identify columns in the green shaded sections of the tabs, "ref_tree_who" and "ref_tree_what" respectively. 
The column "Who Scope" will contain TRUE when the cell on the "ref_tree_who" tab for the "Who Code" and the options selected on the "Scope" tab contains an "x". The "What Scope" column works the same way.</t>
  </si>
  <si>
    <t>The column headers on the "ref_choices" tab match the labels used on the "ref_questions" tab.
The values in the cells below the headers contain the text that will appear in the dropdown for the scoring answers on the "Call Notes" tab.</t>
  </si>
  <si>
    <t>The "ref_services" tab contains the catalogue of services from which the services that appear on the "follow-up" tab will be selected. 
You can specify as selction criteria the "Who Code" and "What Code" that match the rows on "ref_tree_who" and "ref_tree_what" tabs activated by values selected on the "Scope" tab,
and
the "Human Chemistry", "Infrastructure", and "Application" score from the "Call Notes" tab</t>
  </si>
  <si>
    <t>The "ref_tree_who" tab contains the text that appears on the first set of dropdowns on the "Scope" tab, and matches the options selected on the "Scope" tab to the "Who Code" values that will be active for the set of options.</t>
  </si>
  <si>
    <t>The "ref_tree_what" tab works the same way as the "ref_tree_who" tab except that it relates to the second set of dropdowns on the "Scope" tab</t>
  </si>
  <si>
    <t>The tabs "ref_select_who" and "ref_select_what" dynamically assemble the dropdowns that appear on the "Scope" tab. These tabs are completely formula driven. Only unhide them if you want to copy the formula for dynamically assembling a list for use in another Excel workbook</t>
  </si>
  <si>
    <t>From</t>
  </si>
  <si>
    <t>This email address must match the "Account" in row 6</t>
  </si>
  <si>
    <t>Subject</t>
  </si>
  <si>
    <t>Body</t>
  </si>
  <si>
    <t>image</t>
  </si>
  <si>
    <t>The image file must be on the public internet (not the local drive of your PC) in order for receivers of your email to be able to see it.</t>
  </si>
  <si>
    <t>attachment</t>
  </si>
  <si>
    <t>Account</t>
  </si>
  <si>
    <t>The diagram shows how to find</t>
  </si>
  <si>
    <t>Read Receipt</t>
  </si>
  <si>
    <t>the "Account" in your Outlook settings</t>
  </si>
  <si>
    <t>Display Only</t>
  </si>
  <si>
    <t>Outlook =&gt; Tools =&gt; Account Setup</t>
  </si>
  <si>
    <t>Can I ask you some questions...</t>
  </si>
  <si>
    <t>Dear &lt;Greetings&gt;,&lt;br&gt;
&lt;p&gt;I am working with the team tasked with modernizing your desktop environment. I have a few questions I would like to ask you about your desktop environment.&lt;/p&gt;
&lt;p&gt;I have tentatively scheduled a call with you and my team at the following time:
&lt;br&gt;Date &amp; Time for conference call
&lt;br&gt;
&lt;br&gt;If this time does not work for you, please sugest an alternate&lt;/p&gt;
&lt;p&gt;Here is a list of the questions we have assembled so far...&lt;br&gt;
&lt;questions&gt;
&lt;/p&gt;
&lt;br&gt;
&lt;p&gt;Sincerely,&lt;br&gt;
Your Name&lt;/p&gt;</t>
  </si>
  <si>
    <t>The email will be sent as HTML, so include HTML tags for...
&lt;p&gt;&lt;/p&gt; paragraph
&lt;br&gt; line break
&lt;b&gt;&lt;/b&gt; bold
&lt;i&gt;&lt;/i&gt; italics
&lt;u&gt;&lt;/u&gt; underline
The tag, "&lt;Greetings&gt;", will be replaced with the first name from the "Contacts" tab
The tag, "&lt;Questions&gt;", will be replaced with the questions from the "Call Notes" tab</t>
  </si>
  <si>
    <t>https://dl.dropboxusercontent.com/u/18189100/BarbecueInParkingLot.png</t>
  </si>
  <si>
    <t>Include the path to file, starting with the drive letter, as well as the file name (example "C:/users/public/documents/conferencelines.pdf")</t>
  </si>
  <si>
    <t>Date Sent</t>
  </si>
  <si>
    <t>Email</t>
  </si>
  <si>
    <t>Message</t>
  </si>
  <si>
    <t>SendLog</t>
  </si>
  <si>
    <t>customer</t>
  </si>
  <si>
    <t>PM</t>
  </si>
  <si>
    <t>Bill</t>
  </si>
  <si>
    <t>Cust</t>
  </si>
  <si>
    <t>bill@cust.com</t>
  </si>
  <si>
    <t>your.name@gmail.com</t>
  </si>
  <si>
    <r>
      <t xml:space="preserve">This tab automates the process of send an email to every person for whom you have listed an SMTP email address in the "Contacts" tab. 
Note that "an SMTP email address" is an email address that contains an "@" sign. 
The instructions for creating the email are provided in the "Email" tab
Note that the "send" button is at the top-right of the "Email" tab
</t>
    </r>
    <r>
      <rPr>
        <sz val="11"/>
        <color rgb="FFFF0000"/>
        <rFont val="Calibri"/>
        <family val="2"/>
        <scheme val="minor"/>
      </rPr>
      <t xml:space="preserve">WARNING: You must have Microsoft Outlook open for the send-email function to work. </t>
    </r>
    <r>
      <rPr>
        <b/>
        <sz val="11"/>
        <color rgb="FFFF0000"/>
        <rFont val="Calibri"/>
        <family val="2"/>
        <scheme val="minor"/>
      </rPr>
      <t>It does not work with "outlook express"</t>
    </r>
    <r>
      <rPr>
        <sz val="11"/>
        <color rgb="FFFF0000"/>
        <rFont val="Calibri"/>
        <family val="2"/>
        <scheme val="minor"/>
      </rPr>
      <t>, only "Outlook" as installed with Microsoft Office (i.e. the version of Outlook you have to pay for).</t>
    </r>
  </si>
  <si>
    <r>
      <t xml:space="preserve">This tab contains one row to record each email sent. The send-mail function will use this log to ensure that it does not send the same email to the same contact twice.
</t>
    </r>
    <r>
      <rPr>
        <sz val="11"/>
        <color rgb="FFFF0000"/>
        <rFont val="Calibri"/>
        <family val="2"/>
        <scheme val="minor"/>
      </rPr>
      <t xml:space="preserve">
If you do need to send the same email to same contact a second time…
</t>
    </r>
    <r>
      <rPr>
        <sz val="11"/>
        <color rgb="FFFF0000"/>
        <rFont val="Calibri"/>
        <family val="2"/>
      </rPr>
      <t xml:space="preserve">● </t>
    </r>
    <r>
      <rPr>
        <u/>
        <sz val="11"/>
        <color rgb="FFFF0000"/>
        <rFont val="Calibri"/>
        <family val="2"/>
      </rPr>
      <t>Every Contact</t>
    </r>
    <r>
      <rPr>
        <sz val="11"/>
        <color rgb="FFFF0000"/>
        <rFont val="Calibri"/>
        <family val="2"/>
      </rPr>
      <t xml:space="preserve">: Change the "Subject Line" as recorded on the "Email" tab
● </t>
    </r>
    <r>
      <rPr>
        <u/>
        <sz val="11"/>
        <color rgb="FFFF0000"/>
        <rFont val="Calibri"/>
        <family val="2"/>
      </rPr>
      <t>One Specific Contact</t>
    </r>
    <r>
      <rPr>
        <sz val="11"/>
        <color rgb="FFFF0000"/>
        <rFont val="Calibri"/>
        <family val="2"/>
      </rPr>
      <t>: Delete the line from "SendLog" tab that records the email as already sent</t>
    </r>
  </si>
</sst>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1"/>
      <color theme="1"/>
      <name val="Calibri"/>
      <family val="2"/>
      <scheme val="minor"/>
    </font>
    <font>
      <b/>
      <sz val="11"/>
      <color theme="0"/>
      <name val="Calibri"/>
      <family val="2"/>
      <scheme val="minor"/>
    </font>
    <font>
      <b/>
      <sz val="11"/>
      <color theme="1"/>
      <name val="Calibri"/>
      <family val="2"/>
      <scheme val="minor"/>
    </font>
    <font>
      <b/>
      <sz val="11"/>
      <color rgb="FFFFC000"/>
      <name val="Calibri"/>
      <family val="2"/>
      <scheme val="minor"/>
    </font>
    <font>
      <b/>
      <sz val="9"/>
      <color theme="1"/>
      <name val="Calibri"/>
      <family val="2"/>
      <scheme val="minor"/>
    </font>
    <font>
      <b/>
      <sz val="9"/>
      <color rgb="FFFFC000"/>
      <name val="Calibri"/>
      <family val="2"/>
      <scheme val="minor"/>
    </font>
    <font>
      <sz val="11"/>
      <color theme="0"/>
      <name val="Calibri"/>
      <family val="2"/>
      <scheme val="minor"/>
    </font>
    <font>
      <sz val="11"/>
      <color rgb="FFFF0000"/>
      <name val="Calibri"/>
      <family val="2"/>
      <scheme val="minor"/>
    </font>
    <font>
      <u/>
      <sz val="11"/>
      <color theme="10"/>
      <name val="Calibri"/>
      <family val="2"/>
      <scheme val="minor"/>
    </font>
    <font>
      <sz val="10"/>
      <color theme="0" tint="-0.34998626667073579"/>
      <name val="Arial"/>
      <family val="2"/>
    </font>
    <font>
      <sz val="10"/>
      <color rgb="FFC00000"/>
      <name val="Arial"/>
      <family val="2"/>
    </font>
    <font>
      <b/>
      <sz val="11"/>
      <color rgb="FFFF0000"/>
      <name val="Calibri"/>
      <family val="2"/>
      <scheme val="minor"/>
    </font>
    <font>
      <sz val="11"/>
      <color rgb="FFFF0000"/>
      <name val="Calibri"/>
      <family val="2"/>
    </font>
    <font>
      <u/>
      <sz val="11"/>
      <color rgb="FFFF0000"/>
      <name val="Calibri"/>
      <family val="2"/>
    </font>
  </fonts>
  <fills count="9">
    <fill>
      <patternFill patternType="none"/>
    </fill>
    <fill>
      <patternFill patternType="gray125"/>
    </fill>
    <fill>
      <patternFill patternType="solid">
        <fgColor theme="9" tint="-0.249977111117893"/>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1"/>
        <bgColor indexed="64"/>
      </patternFill>
    </fill>
    <fill>
      <patternFill patternType="solid">
        <fgColor theme="5" tint="0.39997558519241921"/>
        <bgColor indexed="64"/>
      </patternFill>
    </fill>
  </fills>
  <borders count="8">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hair">
        <color auto="1"/>
      </bottom>
      <diagonal/>
    </border>
    <border>
      <left/>
      <right/>
      <top style="hair">
        <color auto="1"/>
      </top>
      <bottom style="hair">
        <color auto="1"/>
      </bottom>
      <diagonal/>
    </border>
    <border>
      <left/>
      <right/>
      <top style="hair">
        <color auto="1"/>
      </top>
      <bottom/>
      <diagonal/>
    </border>
    <border>
      <left style="hair">
        <color auto="1"/>
      </left>
      <right style="hair">
        <color auto="1"/>
      </right>
      <top style="hair">
        <color auto="1"/>
      </top>
      <bottom style="hair">
        <color auto="1"/>
      </bottom>
      <diagonal/>
    </border>
  </borders>
  <cellStyleXfs count="2">
    <xf numFmtId="0" fontId="0" fillId="0" borderId="0"/>
    <xf numFmtId="0" fontId="8" fillId="0" borderId="0" applyNumberFormat="0" applyFill="0" applyBorder="0" applyAlignment="0" applyProtection="0"/>
  </cellStyleXfs>
  <cellXfs count="76">
    <xf numFmtId="0" fontId="0" fillId="0" borderId="0" xfId="0"/>
    <xf numFmtId="0" fontId="0" fillId="0" borderId="0" xfId="0" applyAlignment="1">
      <alignment horizontal="left"/>
    </xf>
    <xf numFmtId="0" fontId="0" fillId="0" borderId="0" xfId="0" applyAlignment="1">
      <alignment horizontal="center"/>
    </xf>
    <xf numFmtId="0" fontId="2" fillId="2" borderId="1" xfId="0" applyFont="1" applyFill="1" applyBorder="1" applyAlignment="1">
      <alignment horizontal="center"/>
    </xf>
    <xf numFmtId="0" fontId="2" fillId="3" borderId="2" xfId="0" applyFont="1" applyFill="1" applyBorder="1" applyAlignment="1">
      <alignment horizontal="center"/>
    </xf>
    <xf numFmtId="0" fontId="2" fillId="3" borderId="2" xfId="0" applyFont="1" applyFill="1" applyBorder="1"/>
    <xf numFmtId="0" fontId="2" fillId="2" borderId="3" xfId="0" applyFont="1" applyFill="1" applyBorder="1" applyAlignment="1">
      <alignment horizontal="center"/>
    </xf>
    <xf numFmtId="0" fontId="2" fillId="2" borderId="2" xfId="0" applyFont="1" applyFill="1" applyBorder="1" applyAlignment="1">
      <alignment horizontal="center"/>
    </xf>
    <xf numFmtId="0" fontId="0" fillId="3" borderId="2" xfId="0" applyFill="1" applyBorder="1" applyAlignment="1">
      <alignment horizontal="center"/>
    </xf>
    <xf numFmtId="0" fontId="0" fillId="4" borderId="2" xfId="0" applyFill="1" applyBorder="1"/>
    <xf numFmtId="0" fontId="3" fillId="2" borderId="2" xfId="0" applyFont="1" applyFill="1" applyBorder="1" applyAlignment="1">
      <alignment horizontal="center"/>
    </xf>
    <xf numFmtId="0" fontId="0" fillId="5" borderId="2" xfId="0" applyFill="1" applyBorder="1" applyAlignment="1">
      <alignment horizontal="center"/>
    </xf>
    <xf numFmtId="0" fontId="2" fillId="0" borderId="0" xfId="0" applyFont="1"/>
    <xf numFmtId="0" fontId="4" fillId="0" borderId="0" xfId="0" applyFont="1" applyAlignment="1">
      <alignment horizontal="right" vertical="center" indent="1"/>
    </xf>
    <xf numFmtId="0" fontId="4" fillId="0" borderId="0" xfId="0" applyFont="1" applyAlignment="1">
      <alignment horizontal="left" vertical="center" indent="1"/>
    </xf>
    <xf numFmtId="0" fontId="4" fillId="3" borderId="0" xfId="0" applyFont="1" applyFill="1" applyAlignment="1">
      <alignment horizontal="right" indent="1"/>
    </xf>
    <xf numFmtId="0" fontId="2" fillId="3" borderId="0" xfId="0" applyFont="1" applyFill="1" applyAlignment="1"/>
    <xf numFmtId="0" fontId="0" fillId="3" borderId="0" xfId="0" applyFill="1" applyAlignment="1">
      <alignment horizontal="center"/>
    </xf>
    <xf numFmtId="0" fontId="5" fillId="3" borderId="0" xfId="0" applyFont="1" applyFill="1" applyAlignment="1">
      <alignment horizontal="right" vertical="center" indent="1"/>
    </xf>
    <xf numFmtId="0" fontId="0" fillId="4" borderId="2" xfId="0" applyFill="1" applyBorder="1" applyAlignment="1" applyProtection="1">
      <alignment horizontal="left"/>
      <protection locked="0"/>
    </xf>
    <xf numFmtId="0" fontId="2" fillId="3" borderId="0" xfId="0" applyFont="1" applyFill="1"/>
    <xf numFmtId="0" fontId="0" fillId="4" borderId="4" xfId="0" applyFill="1" applyBorder="1" applyAlignment="1" applyProtection="1">
      <alignment wrapText="1"/>
      <protection locked="0"/>
    </xf>
    <xf numFmtId="0" fontId="0" fillId="4" borderId="5" xfId="0" applyFill="1" applyBorder="1" applyAlignment="1" applyProtection="1">
      <alignment wrapText="1"/>
      <protection locked="0"/>
    </xf>
    <xf numFmtId="14" fontId="0" fillId="4" borderId="2" xfId="0" applyNumberFormat="1" applyFill="1" applyBorder="1" applyAlignment="1" applyProtection="1">
      <alignment horizontal="left"/>
      <protection locked="0"/>
    </xf>
    <xf numFmtId="0" fontId="0" fillId="4" borderId="6" xfId="0" applyFill="1" applyBorder="1" applyAlignment="1" applyProtection="1">
      <alignment wrapText="1"/>
      <protection locked="0"/>
    </xf>
    <xf numFmtId="0" fontId="2" fillId="0" borderId="7" xfId="0" applyFont="1" applyBorder="1" applyAlignment="1">
      <alignment horizontal="center" wrapText="1"/>
    </xf>
    <xf numFmtId="0" fontId="2" fillId="0" borderId="7" xfId="0" applyFont="1" applyBorder="1" applyAlignment="1">
      <alignment wrapText="1"/>
    </xf>
    <xf numFmtId="0" fontId="0" fillId="0" borderId="0" xfId="0" applyAlignment="1">
      <alignment wrapText="1"/>
    </xf>
    <xf numFmtId="0" fontId="0" fillId="0" borderId="7" xfId="0" applyBorder="1" applyAlignment="1">
      <alignment horizontal="center" vertical="top" wrapText="1"/>
    </xf>
    <xf numFmtId="0" fontId="0" fillId="0" borderId="7" xfId="0" applyBorder="1" applyAlignment="1" applyProtection="1">
      <alignment vertical="top" wrapText="1"/>
      <protection locked="0"/>
    </xf>
    <xf numFmtId="0" fontId="0" fillId="0" borderId="0" xfId="0" applyAlignment="1">
      <alignment vertical="top" wrapText="1"/>
    </xf>
    <xf numFmtId="0" fontId="0" fillId="0" borderId="0" xfId="0" applyAlignment="1">
      <alignment horizontal="center" vertical="top" wrapText="1"/>
    </xf>
    <xf numFmtId="0" fontId="0" fillId="0" borderId="0" xfId="0" applyAlignment="1">
      <alignment horizontal="center" wrapText="1"/>
    </xf>
    <xf numFmtId="0" fontId="2" fillId="0" borderId="0" xfId="0" applyFont="1" applyAlignment="1">
      <alignment horizontal="center" vertical="top" wrapText="1"/>
    </xf>
    <xf numFmtId="0" fontId="2" fillId="6" borderId="0" xfId="0" applyFont="1" applyFill="1" applyAlignment="1">
      <alignment horizontal="left"/>
    </xf>
    <xf numFmtId="0" fontId="0" fillId="6" borderId="0" xfId="0" applyFill="1" applyAlignment="1">
      <alignment horizontal="center"/>
    </xf>
    <xf numFmtId="0" fontId="0" fillId="6" borderId="0" xfId="0" applyFill="1" applyAlignment="1">
      <alignment horizontal="left"/>
    </xf>
    <xf numFmtId="2" fontId="0" fillId="6" borderId="0" xfId="0" applyNumberFormat="1" applyFill="1" applyAlignment="1">
      <alignment horizontal="center"/>
    </xf>
    <xf numFmtId="0" fontId="1" fillId="7" borderId="0" xfId="0" applyFont="1" applyFill="1" applyAlignment="1">
      <alignment horizontal="center"/>
    </xf>
    <xf numFmtId="0" fontId="1" fillId="7" borderId="0" xfId="0" applyFont="1" applyFill="1" applyAlignment="1">
      <alignment horizontal="center" wrapText="1"/>
    </xf>
    <xf numFmtId="0" fontId="1" fillId="7" borderId="0" xfId="0" applyFont="1" applyFill="1" applyAlignment="1"/>
    <xf numFmtId="2" fontId="0" fillId="0" borderId="0" xfId="0" applyNumberFormat="1" applyAlignment="1">
      <alignment horizontal="center"/>
    </xf>
    <xf numFmtId="0" fontId="6" fillId="7" borderId="0" xfId="0" applyFont="1" applyFill="1"/>
    <xf numFmtId="0" fontId="2" fillId="0" borderId="7" xfId="0" applyFont="1" applyFill="1" applyBorder="1" applyAlignment="1">
      <alignment horizontal="center" wrapText="1"/>
    </xf>
    <xf numFmtId="2" fontId="1" fillId="7" borderId="0" xfId="0" applyNumberFormat="1" applyFont="1" applyFill="1" applyAlignment="1">
      <alignment horizontal="center" wrapText="1"/>
    </xf>
    <xf numFmtId="0" fontId="0" fillId="0" borderId="0" xfId="0" applyAlignment="1">
      <alignment horizontal="left" vertical="top"/>
    </xf>
    <xf numFmtId="0" fontId="0" fillId="0" borderId="0" xfId="0" applyAlignment="1">
      <alignment horizontal="left" vertical="top"/>
    </xf>
    <xf numFmtId="0" fontId="4" fillId="0" borderId="0" xfId="0" applyFont="1" applyAlignment="1">
      <alignment horizontal="right" vertical="center"/>
    </xf>
    <xf numFmtId="0" fontId="2" fillId="0" borderId="0" xfId="0" applyFont="1" applyAlignment="1">
      <alignment horizontal="center" vertical="top"/>
    </xf>
    <xf numFmtId="0" fontId="2" fillId="0" borderId="0" xfId="0" applyFont="1" applyAlignment="1">
      <alignment vertical="top" wrapText="1"/>
    </xf>
    <xf numFmtId="0" fontId="0" fillId="0" borderId="0" xfId="0" applyAlignment="1">
      <alignment horizontal="center" vertical="top"/>
    </xf>
    <xf numFmtId="0" fontId="0" fillId="0" borderId="7" xfId="0" applyBorder="1" applyAlignment="1" applyProtection="1">
      <alignment vertical="top" wrapText="1"/>
    </xf>
    <xf numFmtId="0" fontId="0" fillId="0" borderId="7" xfId="0" applyBorder="1" applyAlignment="1" applyProtection="1">
      <alignment horizontal="center" vertical="top" wrapText="1"/>
    </xf>
    <xf numFmtId="0" fontId="4" fillId="8" borderId="0" xfId="0" applyFont="1" applyFill="1" applyAlignment="1">
      <alignment horizontal="right" vertical="center"/>
    </xf>
    <xf numFmtId="0" fontId="0" fillId="8" borderId="0" xfId="0" applyFill="1"/>
    <xf numFmtId="0" fontId="4" fillId="0" borderId="4" xfId="0" applyFont="1" applyBorder="1" applyAlignment="1">
      <alignment horizontal="right" vertical="center"/>
    </xf>
    <xf numFmtId="0" fontId="0" fillId="0" borderId="4" xfId="0" applyBorder="1"/>
    <xf numFmtId="0" fontId="4" fillId="0" borderId="5" xfId="0" applyFont="1" applyBorder="1" applyAlignment="1">
      <alignment horizontal="right" vertical="center"/>
    </xf>
    <xf numFmtId="0" fontId="0" fillId="0" borderId="5" xfId="0" applyBorder="1"/>
    <xf numFmtId="0" fontId="4" fillId="0" borderId="6" xfId="0" applyFont="1" applyBorder="1" applyAlignment="1">
      <alignment horizontal="right" vertical="center"/>
    </xf>
    <xf numFmtId="0" fontId="0" fillId="0" borderId="6" xfId="0" applyBorder="1"/>
    <xf numFmtId="0" fontId="4" fillId="8" borderId="0" xfId="0" applyFont="1" applyFill="1" applyAlignment="1">
      <alignment horizontal="right" vertical="center" wrapText="1"/>
    </xf>
    <xf numFmtId="0" fontId="0" fillId="8" borderId="0" xfId="0" applyFill="1" applyAlignment="1">
      <alignment vertical="top" wrapText="1"/>
    </xf>
    <xf numFmtId="0" fontId="0" fillId="0" borderId="4" xfId="0" applyBorder="1" applyAlignment="1">
      <alignment vertical="top" wrapText="1"/>
    </xf>
    <xf numFmtId="0" fontId="0" fillId="0" borderId="5" xfId="0" applyBorder="1" applyAlignment="1">
      <alignment vertical="top" wrapText="1"/>
    </xf>
    <xf numFmtId="0" fontId="0" fillId="0" borderId="6" xfId="0" applyBorder="1" applyAlignment="1">
      <alignment vertical="top" wrapText="1"/>
    </xf>
    <xf numFmtId="0" fontId="0" fillId="0" borderId="4" xfId="0" applyBorder="1" applyAlignment="1">
      <alignment vertical="center" wrapText="1"/>
    </xf>
    <xf numFmtId="0" fontId="9" fillId="0" borderId="0" xfId="0" applyFont="1" applyAlignment="1">
      <alignment horizontal="left" vertical="top" wrapText="1"/>
    </xf>
    <xf numFmtId="0" fontId="2" fillId="0" borderId="0" xfId="0" applyFont="1" applyAlignment="1">
      <alignment vertical="center"/>
    </xf>
    <xf numFmtId="0" fontId="8" fillId="0" borderId="0" xfId="1"/>
    <xf numFmtId="0" fontId="2" fillId="0" borderId="0" xfId="0" applyFont="1" applyAlignment="1">
      <alignment horizontal="center" vertical="center"/>
    </xf>
    <xf numFmtId="22" fontId="0" fillId="0" borderId="0" xfId="0" applyNumberFormat="1" applyAlignment="1">
      <alignment horizontal="center"/>
    </xf>
    <xf numFmtId="0" fontId="8" fillId="0" borderId="0" xfId="1" applyAlignment="1" applyProtection="1">
      <alignment horizontal="left" vertical="top"/>
      <protection locked="0"/>
    </xf>
    <xf numFmtId="0" fontId="0" fillId="0" borderId="0" xfId="0" applyAlignment="1" applyProtection="1">
      <alignment horizontal="left" vertical="top"/>
      <protection locked="0"/>
    </xf>
    <xf numFmtId="0" fontId="0" fillId="0" borderId="0" xfId="0" applyAlignment="1" applyProtection="1">
      <alignment horizontal="left" vertical="top" wrapText="1"/>
      <protection locked="0"/>
    </xf>
    <xf numFmtId="0" fontId="10" fillId="0" borderId="0" xfId="0" applyFont="1" applyAlignment="1" applyProtection="1">
      <alignment horizontal="left" vertical="top"/>
      <protection locked="0"/>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5</xdr:row>
      <xdr:rowOff>0</xdr:rowOff>
    </xdr:from>
    <xdr:to>
      <xdr:col>3</xdr:col>
      <xdr:colOff>3838575</xdr:colOff>
      <xdr:row>17</xdr:row>
      <xdr:rowOff>145098</xdr:rowOff>
    </xdr:to>
    <xdr:pic>
      <xdr:nvPicPr>
        <xdr:cNvPr id="2" name="Picture 3" descr="C:\Users\watsongr\AppData\Local\Temp\SNAGHTML73d367.PNG"/>
        <xdr:cNvPicPr>
          <a:picLocks noChangeAspect="1" noChangeArrowheads="1"/>
        </xdr:cNvPicPr>
      </xdr:nvPicPr>
      <xdr:blipFill>
        <a:blip xmlns:r="http://schemas.openxmlformats.org/officeDocument/2006/relationships" r:embed="rId1" cstate="print"/>
        <a:srcRect/>
        <a:stretch>
          <a:fillRect/>
        </a:stretch>
      </xdr:blipFill>
      <xdr:spPr bwMode="auto">
        <a:xfrm>
          <a:off x="6210300" y="3562350"/>
          <a:ext cx="3838575" cy="2431098"/>
        </a:xfrm>
        <a:prstGeom prst="rect">
          <a:avLst/>
        </a:prstGeom>
        <a:noFill/>
      </xdr:spPr>
    </xdr:pic>
    <xdr:clientData/>
  </xdr:twoCellAnchor>
  <xdr:twoCellAnchor editAs="oneCell">
    <xdr:from>
      <xdr:col>4</xdr:col>
      <xdr:colOff>9525</xdr:colOff>
      <xdr:row>0</xdr:row>
      <xdr:rowOff>0</xdr:rowOff>
    </xdr:from>
    <xdr:to>
      <xdr:col>5</xdr:col>
      <xdr:colOff>85725</xdr:colOff>
      <xdr:row>1</xdr:row>
      <xdr:rowOff>66675</xdr:rowOff>
    </xdr:to>
    <xdr:pic macro="[0]!emailAllContacts">
      <xdr:nvPicPr>
        <xdr:cNvPr id="3" name="Picture 2" descr="C:\Users\Greg\AppData\Local\Temp\SNAGHTML899659.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477500" y="0"/>
          <a:ext cx="685800" cy="2571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hyperlink" Target="mailto:bill@cust.com" TargetMode="Externa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hyperlink" Target="https://dl.dropboxusercontent.com/u/18189100/BarbecueInParkingLot.png" TargetMode="External"/><Relationship Id="rId1" Type="http://schemas.openxmlformats.org/officeDocument/2006/relationships/hyperlink" Target="mailto:your.name@gmail.com" TargetMode="Externa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5" tint="-0.499984740745262"/>
  </sheetPr>
  <dimension ref="A1:C23"/>
  <sheetViews>
    <sheetView showGridLines="0" tabSelected="1" workbookViewId="0">
      <pane xSplit="2" ySplit="1" topLeftCell="C2" activePane="bottomRight" state="frozen"/>
      <selection pane="topRight" activeCell="C1" sqref="C1"/>
      <selection pane="bottomLeft" activeCell="A2" sqref="A2"/>
      <selection pane="bottomRight" activeCell="E8" sqref="E8"/>
    </sheetView>
  </sheetViews>
  <sheetFormatPr defaultRowHeight="15" x14ac:dyDescent="0.25"/>
  <cols>
    <col min="1" max="1" width="19.42578125" style="47" customWidth="1"/>
    <col min="2" max="2" width="0.7109375" customWidth="1"/>
    <col min="3" max="3" width="90.7109375" style="30" customWidth="1"/>
  </cols>
  <sheetData>
    <row r="1" spans="1:3" ht="45" x14ac:dyDescent="0.25">
      <c r="A1" s="47" t="s">
        <v>40</v>
      </c>
      <c r="C1" s="30" t="s">
        <v>253</v>
      </c>
    </row>
    <row r="2" spans="1:3" x14ac:dyDescent="0.25">
      <c r="A2" s="53" t="s">
        <v>270</v>
      </c>
      <c r="B2" s="54"/>
      <c r="C2" s="62"/>
    </row>
    <row r="3" spans="1:3" ht="75" x14ac:dyDescent="0.25">
      <c r="A3" s="55" t="s">
        <v>255</v>
      </c>
      <c r="B3" s="56"/>
      <c r="C3" s="63" t="s">
        <v>276</v>
      </c>
    </row>
    <row r="4" spans="1:3" ht="30" x14ac:dyDescent="0.25">
      <c r="A4" s="55" t="s">
        <v>272</v>
      </c>
      <c r="B4" s="56"/>
      <c r="C4" s="63" t="s">
        <v>277</v>
      </c>
    </row>
    <row r="5" spans="1:3" ht="45" x14ac:dyDescent="0.25">
      <c r="A5" s="57" t="s">
        <v>256</v>
      </c>
      <c r="B5" s="58"/>
      <c r="C5" s="64" t="s">
        <v>280</v>
      </c>
    </row>
    <row r="6" spans="1:3" ht="30" x14ac:dyDescent="0.25">
      <c r="A6" s="59" t="s">
        <v>257</v>
      </c>
      <c r="B6" s="60"/>
      <c r="C6" s="65" t="s">
        <v>281</v>
      </c>
    </row>
    <row r="7" spans="1:3" ht="135" x14ac:dyDescent="0.25">
      <c r="A7" s="59" t="s">
        <v>307</v>
      </c>
      <c r="B7" s="60"/>
      <c r="C7" s="65" t="s">
        <v>316</v>
      </c>
    </row>
    <row r="8" spans="1:3" ht="90" x14ac:dyDescent="0.25">
      <c r="A8" s="59" t="s">
        <v>309</v>
      </c>
      <c r="B8" s="60"/>
      <c r="C8" s="65" t="s">
        <v>317</v>
      </c>
    </row>
    <row r="9" spans="1:3" ht="5.25" customHeight="1" x14ac:dyDescent="0.25"/>
    <row r="10" spans="1:3" ht="45" x14ac:dyDescent="0.25">
      <c r="A10" s="53" t="s">
        <v>258</v>
      </c>
      <c r="B10" s="54"/>
      <c r="C10" s="62" t="s">
        <v>271</v>
      </c>
    </row>
    <row r="11" spans="1:3" ht="135" x14ac:dyDescent="0.25">
      <c r="A11" s="55" t="s">
        <v>259</v>
      </c>
      <c r="B11" s="56"/>
      <c r="C11" s="63" t="s">
        <v>282</v>
      </c>
    </row>
    <row r="12" spans="1:3" ht="60" x14ac:dyDescent="0.25">
      <c r="A12" s="57" t="s">
        <v>260</v>
      </c>
      <c r="B12" s="58"/>
      <c r="C12" s="64" t="s">
        <v>283</v>
      </c>
    </row>
    <row r="13" spans="1:3" ht="110.25" customHeight="1" x14ac:dyDescent="0.25">
      <c r="A13" s="57" t="s">
        <v>261</v>
      </c>
      <c r="B13" s="58"/>
      <c r="C13" s="64" t="s">
        <v>284</v>
      </c>
    </row>
    <row r="14" spans="1:3" ht="45" x14ac:dyDescent="0.25">
      <c r="A14" s="57" t="s">
        <v>262</v>
      </c>
      <c r="B14" s="58"/>
      <c r="C14" s="64" t="s">
        <v>285</v>
      </c>
    </row>
    <row r="15" spans="1:3" ht="30" x14ac:dyDescent="0.25">
      <c r="A15" s="59" t="s">
        <v>263</v>
      </c>
      <c r="B15" s="60"/>
      <c r="C15" s="65" t="s">
        <v>286</v>
      </c>
    </row>
    <row r="16" spans="1:3" ht="4.5" customHeight="1" x14ac:dyDescent="0.25"/>
    <row r="17" spans="1:3" x14ac:dyDescent="0.25">
      <c r="A17" s="53" t="s">
        <v>264</v>
      </c>
      <c r="B17" s="54"/>
      <c r="C17" s="62"/>
    </row>
    <row r="18" spans="1:3" ht="33.75" customHeight="1" x14ac:dyDescent="0.25">
      <c r="A18" s="55" t="s">
        <v>265</v>
      </c>
      <c r="B18" s="56"/>
      <c r="C18" s="66" t="s">
        <v>287</v>
      </c>
    </row>
    <row r="19" spans="1:3" ht="33.75" customHeight="1" x14ac:dyDescent="0.25">
      <c r="A19" s="59" t="s">
        <v>266</v>
      </c>
      <c r="B19" s="60"/>
      <c r="C19" s="66"/>
    </row>
    <row r="20" spans="1:3" ht="4.5" customHeight="1" x14ac:dyDescent="0.25"/>
    <row r="21" spans="1:3" ht="165" x14ac:dyDescent="0.25">
      <c r="A21" s="61" t="s">
        <v>268</v>
      </c>
      <c r="B21" s="54"/>
      <c r="C21" s="62" t="s">
        <v>267</v>
      </c>
    </row>
    <row r="22" spans="1:3" ht="6" customHeight="1" x14ac:dyDescent="0.25"/>
    <row r="23" spans="1:3" ht="45" x14ac:dyDescent="0.25">
      <c r="A23" s="47" t="s">
        <v>254</v>
      </c>
      <c r="C23" s="30" t="s">
        <v>269</v>
      </c>
    </row>
  </sheetData>
  <mergeCells count="1">
    <mergeCell ref="C18:C19"/>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5" tint="-0.249977111117893"/>
  </sheetPr>
  <dimension ref="A1:E20"/>
  <sheetViews>
    <sheetView workbookViewId="0">
      <selection activeCell="A16" sqref="A16:E17"/>
    </sheetView>
  </sheetViews>
  <sheetFormatPr defaultRowHeight="15" x14ac:dyDescent="0.25"/>
  <cols>
    <col min="1" max="1" width="15" customWidth="1"/>
    <col min="2" max="2" width="58.7109375" customWidth="1"/>
    <col min="3" max="3" width="4" customWidth="1"/>
    <col min="4" max="4" width="63.7109375" customWidth="1"/>
    <col min="5" max="5" width="4.28515625" customWidth="1"/>
  </cols>
  <sheetData>
    <row r="1" spans="1:5" x14ac:dyDescent="0.25">
      <c r="A1" s="13" t="s">
        <v>40</v>
      </c>
      <c r="B1" s="46" t="s">
        <v>55</v>
      </c>
      <c r="C1" s="46"/>
      <c r="D1" s="46"/>
      <c r="E1" s="46"/>
    </row>
    <row r="2" spans="1:5" x14ac:dyDescent="0.25">
      <c r="A2" s="13"/>
      <c r="C2" s="2"/>
    </row>
    <row r="3" spans="1:5" x14ac:dyDescent="0.25">
      <c r="A3" s="14" t="s">
        <v>41</v>
      </c>
      <c r="C3" s="2"/>
    </row>
    <row r="4" spans="1:5" x14ac:dyDescent="0.25">
      <c r="A4" s="15"/>
      <c r="B4" s="16"/>
      <c r="C4" s="17"/>
      <c r="D4" s="16" t="s">
        <v>42</v>
      </c>
      <c r="E4" s="16"/>
    </row>
    <row r="5" spans="1:5" x14ac:dyDescent="0.25">
      <c r="A5" s="18" t="s">
        <v>43</v>
      </c>
      <c r="B5" s="19" t="s">
        <v>44</v>
      </c>
      <c r="C5" s="20"/>
      <c r="D5" s="21"/>
      <c r="E5" s="20"/>
    </row>
    <row r="6" spans="1:5" x14ac:dyDescent="0.25">
      <c r="A6" s="18" t="s">
        <v>45</v>
      </c>
      <c r="B6" s="19" t="s">
        <v>46</v>
      </c>
      <c r="C6" s="20"/>
      <c r="D6" s="22"/>
      <c r="E6" s="20"/>
    </row>
    <row r="7" spans="1:5" x14ac:dyDescent="0.25">
      <c r="A7" s="18" t="s">
        <v>47</v>
      </c>
      <c r="B7" s="19" t="s">
        <v>48</v>
      </c>
      <c r="C7" s="20"/>
      <c r="D7" s="22"/>
      <c r="E7" s="20"/>
    </row>
    <row r="8" spans="1:5" x14ac:dyDescent="0.25">
      <c r="A8" s="18" t="s">
        <v>49</v>
      </c>
      <c r="B8" s="23">
        <f ca="1">TODAY()+30</f>
        <v>42105</v>
      </c>
      <c r="C8" s="20"/>
      <c r="D8" s="24"/>
      <c r="E8" s="20"/>
    </row>
    <row r="9" spans="1:5" x14ac:dyDescent="0.25">
      <c r="A9" s="15"/>
      <c r="B9" s="16" t="s">
        <v>50</v>
      </c>
      <c r="C9" s="17"/>
      <c r="D9" s="16" t="s">
        <v>42</v>
      </c>
      <c r="E9" s="16"/>
    </row>
    <row r="10" spans="1:5" x14ac:dyDescent="0.25">
      <c r="A10" s="18" t="s">
        <v>51</v>
      </c>
      <c r="B10" s="19" t="s">
        <v>18</v>
      </c>
      <c r="C10" s="20"/>
      <c r="D10" s="21"/>
      <c r="E10" s="20"/>
    </row>
    <row r="11" spans="1:5" x14ac:dyDescent="0.25">
      <c r="A11" s="18" t="s">
        <v>52</v>
      </c>
      <c r="B11" s="19" t="s">
        <v>20</v>
      </c>
      <c r="C11" s="20"/>
      <c r="D11" s="22"/>
      <c r="E11" s="20"/>
    </row>
    <row r="12" spans="1:5" x14ac:dyDescent="0.25">
      <c r="A12" s="18" t="s">
        <v>53</v>
      </c>
      <c r="B12" s="19" t="s">
        <v>15</v>
      </c>
      <c r="C12" s="20"/>
      <c r="D12" s="24"/>
      <c r="E12" s="20"/>
    </row>
    <row r="13" spans="1:5" x14ac:dyDescent="0.25">
      <c r="A13" s="20"/>
      <c r="B13" s="20"/>
      <c r="C13" s="20"/>
      <c r="D13" s="20"/>
      <c r="E13" s="20"/>
    </row>
    <row r="14" spans="1:5" x14ac:dyDescent="0.25">
      <c r="A14" s="13"/>
      <c r="C14" s="2"/>
    </row>
    <row r="15" spans="1:5" x14ac:dyDescent="0.25">
      <c r="A15" s="14" t="s">
        <v>54</v>
      </c>
      <c r="C15" s="2"/>
    </row>
    <row r="16" spans="1:5" x14ac:dyDescent="0.25">
      <c r="A16" s="15"/>
      <c r="B16" s="16"/>
      <c r="C16" s="17"/>
      <c r="D16" s="16" t="s">
        <v>42</v>
      </c>
      <c r="E16" s="16"/>
    </row>
    <row r="17" spans="1:5" x14ac:dyDescent="0.25">
      <c r="A17" s="18" t="s">
        <v>21</v>
      </c>
      <c r="B17" s="19" t="s">
        <v>27</v>
      </c>
      <c r="C17" s="20"/>
      <c r="D17" s="21"/>
      <c r="E17" s="20"/>
    </row>
    <row r="18" spans="1:5" x14ac:dyDescent="0.25">
      <c r="A18" s="18" t="s">
        <v>22</v>
      </c>
      <c r="B18" s="19" t="s">
        <v>31</v>
      </c>
      <c r="C18" s="20"/>
      <c r="D18" s="22"/>
      <c r="E18" s="20"/>
    </row>
    <row r="19" spans="1:5" x14ac:dyDescent="0.25">
      <c r="A19" s="18" t="s">
        <v>23</v>
      </c>
      <c r="B19" s="19" t="s">
        <v>32</v>
      </c>
      <c r="C19" s="20"/>
      <c r="D19" s="24"/>
      <c r="E19" s="20"/>
    </row>
    <row r="20" spans="1:5" x14ac:dyDescent="0.25">
      <c r="A20" s="20"/>
      <c r="B20" s="20"/>
      <c r="C20" s="20"/>
      <c r="D20" s="20"/>
      <c r="E20" s="20"/>
    </row>
  </sheetData>
  <mergeCells count="1">
    <mergeCell ref="B1:E1"/>
  </mergeCells>
  <dataValidations count="6">
    <dataValidation type="list" allowBlank="1" showInputMessage="1" showErrorMessage="1" sqref="B10">
      <formula1>List_who</formula1>
    </dataValidation>
    <dataValidation type="list" allowBlank="1" showInputMessage="1" showErrorMessage="1" sqref="B11">
      <formula1>List_why</formula1>
    </dataValidation>
    <dataValidation type="list" allowBlank="1" showInputMessage="1" showErrorMessage="1" sqref="B12">
      <formula1>List_How</formula1>
    </dataValidation>
    <dataValidation type="list" allowBlank="1" showInputMessage="1" showErrorMessage="1" sqref="B17">
      <formula1>List_Service</formula1>
    </dataValidation>
    <dataValidation type="list" allowBlank="1" showInputMessage="1" showErrorMessage="1" sqref="B18">
      <formula1>List_Option1</formula1>
    </dataValidation>
    <dataValidation type="list" allowBlank="1" showInputMessage="1" showErrorMessage="1" sqref="B19">
      <formula1>List_Option2</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249977111117893"/>
  </sheetPr>
  <dimension ref="A1:E2"/>
  <sheetViews>
    <sheetView workbookViewId="0">
      <pane ySplit="1" topLeftCell="A2" activePane="bottomLeft" state="frozen"/>
      <selection pane="bottomLeft" activeCell="A3" sqref="A3"/>
    </sheetView>
  </sheetViews>
  <sheetFormatPr defaultRowHeight="15" x14ac:dyDescent="0.25"/>
  <cols>
    <col min="1" max="1" width="17.5703125" customWidth="1"/>
    <col min="2" max="3" width="19.42578125" customWidth="1"/>
    <col min="4" max="4" width="20.5703125" customWidth="1"/>
    <col min="5" max="5" width="36.28515625" customWidth="1"/>
  </cols>
  <sheetData>
    <row r="1" spans="1:5" s="12" customFormat="1" x14ac:dyDescent="0.25">
      <c r="A1" s="12" t="s">
        <v>273</v>
      </c>
      <c r="B1" s="12" t="s">
        <v>274</v>
      </c>
      <c r="C1" s="12" t="s">
        <v>278</v>
      </c>
      <c r="D1" s="12" t="s">
        <v>279</v>
      </c>
      <c r="E1" s="12" t="s">
        <v>275</v>
      </c>
    </row>
    <row r="2" spans="1:5" x14ac:dyDescent="0.25">
      <c r="A2" t="s">
        <v>310</v>
      </c>
      <c r="B2" t="s">
        <v>311</v>
      </c>
      <c r="C2" t="s">
        <v>312</v>
      </c>
      <c r="D2" t="s">
        <v>313</v>
      </c>
      <c r="E2" s="69" t="s">
        <v>314</v>
      </c>
    </row>
  </sheetData>
  <hyperlinks>
    <hyperlink ref="E2" r:id="rId1"/>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5" tint="-0.249977111117893"/>
  </sheetPr>
  <dimension ref="A1:K52"/>
  <sheetViews>
    <sheetView workbookViewId="0">
      <selection activeCell="B2" sqref="B2"/>
    </sheetView>
  </sheetViews>
  <sheetFormatPr defaultRowHeight="15" x14ac:dyDescent="0.25"/>
  <cols>
    <col min="1" max="1" width="5.140625" style="31" customWidth="1"/>
    <col min="2" max="2" width="38.7109375" style="30" customWidth="1"/>
    <col min="3" max="5" width="25.42578125" style="31" customWidth="1"/>
    <col min="6" max="6" width="46.5703125" style="30" customWidth="1"/>
    <col min="7" max="9" width="9.7109375" style="31" customWidth="1"/>
    <col min="10" max="16384" width="9.140625" style="30"/>
  </cols>
  <sheetData>
    <row r="1" spans="1:9" s="27" customFormat="1" x14ac:dyDescent="0.25">
      <c r="A1" s="25" t="s">
        <v>56</v>
      </c>
      <c r="B1" s="26" t="s">
        <v>57</v>
      </c>
      <c r="C1" s="25" t="s">
        <v>224</v>
      </c>
      <c r="D1" s="25" t="s">
        <v>225</v>
      </c>
      <c r="E1" s="25" t="s">
        <v>226</v>
      </c>
      <c r="F1" s="26" t="s">
        <v>42</v>
      </c>
      <c r="G1" s="43" t="s">
        <v>232</v>
      </c>
      <c r="H1" s="25" t="s">
        <v>233</v>
      </c>
      <c r="I1" s="25" t="s">
        <v>234</v>
      </c>
    </row>
    <row r="2" spans="1:9" ht="120" x14ac:dyDescent="0.25">
      <c r="A2" s="28">
        <f>N(A1)+1</f>
        <v>1</v>
      </c>
      <c r="B2" s="51" t="str">
        <f ca="1">IFERROR(VLOOKUP($A2,ref_questions!$A:$J,6,FALSE),"")</f>
        <v xml:space="preserve">Describe how you reached the decision to purchase the common applications you have now? </v>
      </c>
      <c r="C2" s="52" t="s">
        <v>214</v>
      </c>
      <c r="D2" s="52" t="s">
        <v>247</v>
      </c>
      <c r="E2" s="52" t="s">
        <v>230</v>
      </c>
      <c r="F2" s="29"/>
      <c r="G2" s="28">
        <f ca="1">IFERROR(MATCH(C2, INDIRECT(VLOOKUP($A2,ref_questions!$A:$J,8,FALSE)),0),"")</f>
        <v>1</v>
      </c>
      <c r="H2" s="28">
        <f ca="1">IFERROR(MATCH(D2, INDIRECT(VLOOKUP($A2,ref_questions!$A:$J,9,FALSE)),0),"")</f>
        <v>1</v>
      </c>
      <c r="I2" s="28">
        <f ca="1">IFERROR(MATCH(E2, INDIRECT(VLOOKUP($A2,ref_questions!$A:$J,10,FALSE)),0),"")</f>
        <v>2</v>
      </c>
    </row>
    <row r="3" spans="1:9" ht="30" x14ac:dyDescent="0.25">
      <c r="A3" s="28">
        <f t="shared" ref="A3:A52" si="0">N(A2)+1</f>
        <v>2</v>
      </c>
      <c r="B3" s="51" t="str">
        <f ca="1">IFERROR(VLOOKUP($A3,ref_questions!$A:$F,6,FALSE),"")</f>
        <v>Describe a time you tried to persuade the company to purchase new software?</v>
      </c>
      <c r="C3" s="52"/>
      <c r="D3" s="52"/>
      <c r="E3" s="52"/>
      <c r="F3" s="29"/>
      <c r="G3" s="28" t="str">
        <f ca="1">IFERROR(MATCH(C3, INDIRECT(VLOOKUP($A3,ref_questions!$A:$J,8,FALSE)),0),"")</f>
        <v/>
      </c>
      <c r="H3" s="28" t="str">
        <f ca="1">IFERROR(MATCH(D3, INDIRECT(VLOOKUP($A3,ref_questions!$A:$J,9,FALSE)),0),"")</f>
        <v/>
      </c>
      <c r="I3" s="28" t="str">
        <f ca="1">IFERROR(MATCH(E3, INDIRECT(VLOOKUP($A3,ref_questions!$A:$J,10,FALSE)),0),"")</f>
        <v/>
      </c>
    </row>
    <row r="4" spans="1:9" x14ac:dyDescent="0.25">
      <c r="A4" s="28">
        <f t="shared" si="0"/>
        <v>3</v>
      </c>
      <c r="B4" s="51" t="str">
        <f ca="1">IFERROR(VLOOKUP($A4,ref_questions!$A:$F,6,FALSE),"")</f>
        <v>Connected -- operational?</v>
      </c>
      <c r="C4" s="52"/>
      <c r="D4" s="52"/>
      <c r="E4" s="52"/>
      <c r="F4" s="29"/>
      <c r="G4" s="28" t="str">
        <f ca="1">IFERROR(MATCH(C4, INDIRECT(VLOOKUP($A4,ref_questions!$A:$J,8,FALSE)),0),"")</f>
        <v/>
      </c>
      <c r="H4" s="28" t="str">
        <f ca="1">IFERROR(MATCH(D4, INDIRECT(VLOOKUP($A4,ref_questions!$A:$J,9,FALSE)),0),"")</f>
        <v/>
      </c>
      <c r="I4" s="28" t="str">
        <f ca="1">IFERROR(MATCH(E4, INDIRECT(VLOOKUP($A4,ref_questions!$A:$J,10,FALSE)),0),"")</f>
        <v/>
      </c>
    </row>
    <row r="5" spans="1:9" x14ac:dyDescent="0.25">
      <c r="A5" s="28">
        <f t="shared" si="0"/>
        <v>4</v>
      </c>
      <c r="B5" s="51" t="str">
        <f ca="1">IFERROR(VLOOKUP($A5,ref_questions!$A:$F,6,FALSE),"")</f>
        <v>Connected -- operational?</v>
      </c>
      <c r="C5" s="52"/>
      <c r="D5" s="52"/>
      <c r="E5" s="52"/>
      <c r="F5" s="29"/>
      <c r="G5" s="28" t="str">
        <f ca="1">IFERROR(MATCH(C5, INDIRECT(VLOOKUP($A5,ref_questions!$A:$J,8,FALSE)),0),"")</f>
        <v/>
      </c>
      <c r="H5" s="28" t="str">
        <f ca="1">IFERROR(MATCH(D5, INDIRECT(VLOOKUP($A5,ref_questions!$A:$J,9,FALSE)),0),"")</f>
        <v/>
      </c>
      <c r="I5" s="28" t="str">
        <f ca="1">IFERROR(MATCH(E5, INDIRECT(VLOOKUP($A5,ref_questions!$A:$J,10,FALSE)),0),"")</f>
        <v/>
      </c>
    </row>
    <row r="6" spans="1:9" x14ac:dyDescent="0.25">
      <c r="A6" s="28">
        <f t="shared" si="0"/>
        <v>5</v>
      </c>
      <c r="B6" s="51" t="str">
        <f ca="1">IFERROR(VLOOKUP($A6,ref_questions!$A:$F,6,FALSE),"")</f>
        <v>Available -- operational?</v>
      </c>
      <c r="C6" s="52"/>
      <c r="D6" s="52"/>
      <c r="E6" s="52"/>
      <c r="F6" s="29"/>
      <c r="G6" s="28" t="str">
        <f ca="1">IFERROR(MATCH(C6, INDIRECT(VLOOKUP($A6,ref_questions!$A:$J,8,FALSE)),0),"")</f>
        <v/>
      </c>
      <c r="H6" s="28" t="str">
        <f ca="1">IFERROR(MATCH(D6, INDIRECT(VLOOKUP($A6,ref_questions!$A:$J,9,FALSE)),0),"")</f>
        <v/>
      </c>
      <c r="I6" s="28" t="str">
        <f ca="1">IFERROR(MATCH(E6, INDIRECT(VLOOKUP($A6,ref_questions!$A:$J,10,FALSE)),0),"")</f>
        <v/>
      </c>
    </row>
    <row r="7" spans="1:9" x14ac:dyDescent="0.25">
      <c r="A7" s="28">
        <f t="shared" si="0"/>
        <v>6</v>
      </c>
      <c r="B7" s="51" t="str">
        <f ca="1">IFERROR(VLOOKUP($A7,ref_questions!$A:$F,6,FALSE),"")</f>
        <v>Secure -- operational?</v>
      </c>
      <c r="C7" s="52"/>
      <c r="D7" s="52"/>
      <c r="E7" s="52"/>
      <c r="F7" s="29"/>
      <c r="G7" s="28" t="str">
        <f ca="1">IFERROR(MATCH(C7, INDIRECT(VLOOKUP($A7,ref_questions!$A:$J,8,FALSE)),0),"")</f>
        <v/>
      </c>
      <c r="H7" s="28" t="str">
        <f ca="1">IFERROR(MATCH(D7, INDIRECT(VLOOKUP($A7,ref_questions!$A:$J,9,FALSE)),0),"")</f>
        <v/>
      </c>
      <c r="I7" s="28" t="str">
        <f ca="1">IFERROR(MATCH(E7, INDIRECT(VLOOKUP($A7,ref_questions!$A:$J,10,FALSE)),0),"")</f>
        <v/>
      </c>
    </row>
    <row r="8" spans="1:9" x14ac:dyDescent="0.25">
      <c r="A8" s="28">
        <f t="shared" si="0"/>
        <v>7</v>
      </c>
      <c r="B8" s="51" t="str">
        <f ca="1">IFERROR(VLOOKUP($A8,ref_questions!$A:$F,6,FALSE),"")</f>
        <v/>
      </c>
      <c r="C8" s="52"/>
      <c r="D8" s="52"/>
      <c r="E8" s="52"/>
      <c r="F8" s="29"/>
      <c r="G8" s="28" t="str">
        <f ca="1">IFERROR(MATCH(C8, INDIRECT(VLOOKUP($A8,ref_questions!$A:$J,8,FALSE)),0),"")</f>
        <v/>
      </c>
      <c r="H8" s="28" t="str">
        <f ca="1">IFERROR(MATCH(D8, INDIRECT(VLOOKUP($A8,ref_questions!$A:$J,9,FALSE)),0),"")</f>
        <v/>
      </c>
      <c r="I8" s="28" t="str">
        <f ca="1">IFERROR(MATCH(E8, INDIRECT(VLOOKUP($A8,ref_questions!$A:$J,10,FALSE)),0),"")</f>
        <v/>
      </c>
    </row>
    <row r="9" spans="1:9" x14ac:dyDescent="0.25">
      <c r="A9" s="28">
        <f t="shared" si="0"/>
        <v>8</v>
      </c>
      <c r="B9" s="51" t="str">
        <f ca="1">IFERROR(VLOOKUP($A9,ref_questions!$A:$F,6,FALSE),"")</f>
        <v/>
      </c>
      <c r="C9" s="52"/>
      <c r="D9" s="52"/>
      <c r="E9" s="52"/>
      <c r="F9" s="29"/>
      <c r="G9" s="28" t="str">
        <f ca="1">IFERROR(MATCH(C9, INDIRECT(VLOOKUP($A9,ref_questions!$A:$J,8,FALSE)),0),"")</f>
        <v/>
      </c>
      <c r="H9" s="28" t="str">
        <f ca="1">IFERROR(MATCH(D9, INDIRECT(VLOOKUP($A9,ref_questions!$A:$J,9,FALSE)),0),"")</f>
        <v/>
      </c>
      <c r="I9" s="28" t="str">
        <f ca="1">IFERROR(MATCH(E9, INDIRECT(VLOOKUP($A9,ref_questions!$A:$J,10,FALSE)),0),"")</f>
        <v/>
      </c>
    </row>
    <row r="10" spans="1:9" x14ac:dyDescent="0.25">
      <c r="A10" s="28">
        <f t="shared" si="0"/>
        <v>9</v>
      </c>
      <c r="B10" s="51" t="str">
        <f ca="1">IFERROR(VLOOKUP($A10,ref_questions!$A:$F,6,FALSE),"")</f>
        <v/>
      </c>
      <c r="C10" s="52"/>
      <c r="D10" s="52"/>
      <c r="E10" s="52"/>
      <c r="F10" s="29"/>
      <c r="G10" s="28" t="str">
        <f ca="1">IFERROR(MATCH(C10, INDIRECT(VLOOKUP($A10,ref_questions!$A:$J,8,FALSE)),0),"")</f>
        <v/>
      </c>
      <c r="H10" s="28" t="str">
        <f ca="1">IFERROR(MATCH(D10, INDIRECT(VLOOKUP($A10,ref_questions!$A:$J,9,FALSE)),0),"")</f>
        <v/>
      </c>
      <c r="I10" s="28" t="str">
        <f ca="1">IFERROR(MATCH(E10, INDIRECT(VLOOKUP($A10,ref_questions!$A:$J,10,FALSE)),0),"")</f>
        <v/>
      </c>
    </row>
    <row r="11" spans="1:9" x14ac:dyDescent="0.25">
      <c r="A11" s="28">
        <f t="shared" si="0"/>
        <v>10</v>
      </c>
      <c r="B11" s="51" t="str">
        <f ca="1">IFERROR(VLOOKUP($A11,ref_questions!$A:$F,6,FALSE),"")</f>
        <v/>
      </c>
      <c r="C11" s="52"/>
      <c r="D11" s="52"/>
      <c r="E11" s="52"/>
      <c r="F11" s="29"/>
      <c r="G11" s="28" t="str">
        <f ca="1">IFERROR(MATCH(C11, INDIRECT(VLOOKUP($A11,ref_questions!$A:$J,8,FALSE)),0),"")</f>
        <v/>
      </c>
      <c r="H11" s="28" t="str">
        <f ca="1">IFERROR(MATCH(D11, INDIRECT(VLOOKUP($A11,ref_questions!$A:$J,9,FALSE)),0),"")</f>
        <v/>
      </c>
      <c r="I11" s="28" t="str">
        <f ca="1">IFERROR(MATCH(E11, INDIRECT(VLOOKUP($A11,ref_questions!$A:$J,10,FALSE)),0),"")</f>
        <v/>
      </c>
    </row>
    <row r="12" spans="1:9" x14ac:dyDescent="0.25">
      <c r="A12" s="28">
        <f t="shared" si="0"/>
        <v>11</v>
      </c>
      <c r="B12" s="51" t="str">
        <f ca="1">IFERROR(VLOOKUP($A12,ref_questions!$A:$F,6,FALSE),"")</f>
        <v/>
      </c>
      <c r="C12" s="52"/>
      <c r="D12" s="52"/>
      <c r="E12" s="52"/>
      <c r="F12" s="29"/>
      <c r="G12" s="28" t="str">
        <f ca="1">IFERROR(MATCH(C12, INDIRECT(VLOOKUP($A12,ref_questions!$A:$J,8,FALSE)),0),"")</f>
        <v/>
      </c>
      <c r="H12" s="28" t="str">
        <f ca="1">IFERROR(MATCH(D12, INDIRECT(VLOOKUP($A12,ref_questions!$A:$J,9,FALSE)),0),"")</f>
        <v/>
      </c>
      <c r="I12" s="28" t="str">
        <f ca="1">IFERROR(MATCH(E12, INDIRECT(VLOOKUP($A12,ref_questions!$A:$J,10,FALSE)),0),"")</f>
        <v/>
      </c>
    </row>
    <row r="13" spans="1:9" x14ac:dyDescent="0.25">
      <c r="A13" s="28">
        <f t="shared" si="0"/>
        <v>12</v>
      </c>
      <c r="B13" s="51" t="str">
        <f ca="1">IFERROR(VLOOKUP($A13,ref_questions!$A:$F,6,FALSE),"")</f>
        <v/>
      </c>
      <c r="C13" s="52"/>
      <c r="D13" s="52"/>
      <c r="E13" s="52"/>
      <c r="F13" s="29"/>
      <c r="G13" s="28" t="str">
        <f ca="1">IFERROR(MATCH(C13, INDIRECT(VLOOKUP($A13,ref_questions!$A:$J,8,FALSE)),0),"")</f>
        <v/>
      </c>
      <c r="H13" s="28" t="str">
        <f ca="1">IFERROR(MATCH(D13, INDIRECT(VLOOKUP($A13,ref_questions!$A:$J,9,FALSE)),0),"")</f>
        <v/>
      </c>
      <c r="I13" s="28" t="str">
        <f ca="1">IFERROR(MATCH(E13, INDIRECT(VLOOKUP($A13,ref_questions!$A:$J,10,FALSE)),0),"")</f>
        <v/>
      </c>
    </row>
    <row r="14" spans="1:9" x14ac:dyDescent="0.25">
      <c r="A14" s="28">
        <f t="shared" si="0"/>
        <v>13</v>
      </c>
      <c r="B14" s="51" t="str">
        <f ca="1">IFERROR(VLOOKUP($A14,ref_questions!$A:$F,6,FALSE),"")</f>
        <v/>
      </c>
      <c r="C14" s="52"/>
      <c r="D14" s="52"/>
      <c r="E14" s="52"/>
      <c r="F14" s="29"/>
      <c r="G14" s="28" t="str">
        <f ca="1">IFERROR(MATCH(C14, INDIRECT(VLOOKUP($A14,ref_questions!$A:$J,8,FALSE)),0),"")</f>
        <v/>
      </c>
      <c r="H14" s="28" t="str">
        <f ca="1">IFERROR(MATCH(D14, INDIRECT(VLOOKUP($A14,ref_questions!$A:$J,9,FALSE)),0),"")</f>
        <v/>
      </c>
      <c r="I14" s="28" t="str">
        <f ca="1">IFERROR(MATCH(E14, INDIRECT(VLOOKUP($A14,ref_questions!$A:$J,10,FALSE)),0),"")</f>
        <v/>
      </c>
    </row>
    <row r="15" spans="1:9" x14ac:dyDescent="0.25">
      <c r="A15" s="28">
        <f t="shared" si="0"/>
        <v>14</v>
      </c>
      <c r="B15" s="51" t="str">
        <f ca="1">IFERROR(VLOOKUP($A15,ref_questions!$A:$F,6,FALSE),"")</f>
        <v/>
      </c>
      <c r="C15" s="52"/>
      <c r="D15" s="52"/>
      <c r="E15" s="52"/>
      <c r="F15" s="29"/>
      <c r="G15" s="28" t="str">
        <f ca="1">IFERROR(MATCH(C15, INDIRECT(VLOOKUP($A15,ref_questions!$A:$J,8,FALSE)),0),"")</f>
        <v/>
      </c>
      <c r="H15" s="28" t="str">
        <f ca="1">IFERROR(MATCH(D15, INDIRECT(VLOOKUP($A15,ref_questions!$A:$J,9,FALSE)),0),"")</f>
        <v/>
      </c>
      <c r="I15" s="28" t="str">
        <f ca="1">IFERROR(MATCH(E15, INDIRECT(VLOOKUP($A15,ref_questions!$A:$J,10,FALSE)),0),"")</f>
        <v/>
      </c>
    </row>
    <row r="16" spans="1:9" x14ac:dyDescent="0.25">
      <c r="A16" s="28">
        <f t="shared" si="0"/>
        <v>15</v>
      </c>
      <c r="B16" s="51" t="str">
        <f ca="1">IFERROR(VLOOKUP($A16,ref_questions!$A:$F,6,FALSE),"")</f>
        <v/>
      </c>
      <c r="C16" s="52"/>
      <c r="D16" s="52"/>
      <c r="E16" s="52"/>
      <c r="F16" s="29"/>
      <c r="G16" s="28" t="str">
        <f ca="1">IFERROR(MATCH(C16, INDIRECT(VLOOKUP($A16,ref_questions!$A:$J,8,FALSE)),0),"")</f>
        <v/>
      </c>
      <c r="H16" s="28" t="str">
        <f ca="1">IFERROR(MATCH(D16, INDIRECT(VLOOKUP($A16,ref_questions!$A:$J,9,FALSE)),0),"")</f>
        <v/>
      </c>
      <c r="I16" s="28" t="str">
        <f ca="1">IFERROR(MATCH(E16, INDIRECT(VLOOKUP($A16,ref_questions!$A:$J,10,FALSE)),0),"")</f>
        <v/>
      </c>
    </row>
    <row r="17" spans="1:9" x14ac:dyDescent="0.25">
      <c r="A17" s="28">
        <f t="shared" si="0"/>
        <v>16</v>
      </c>
      <c r="B17" s="51" t="str">
        <f ca="1">IFERROR(VLOOKUP($A17,ref_questions!$A:$F,6,FALSE),"")</f>
        <v/>
      </c>
      <c r="C17" s="52"/>
      <c r="D17" s="52"/>
      <c r="E17" s="52"/>
      <c r="F17" s="29"/>
      <c r="G17" s="28" t="str">
        <f ca="1">IFERROR(MATCH(C17, INDIRECT(VLOOKUP($A17,ref_questions!$A:$J,8,FALSE)),0),"")</f>
        <v/>
      </c>
      <c r="H17" s="28" t="str">
        <f ca="1">IFERROR(MATCH(D17, INDIRECT(VLOOKUP($A17,ref_questions!$A:$J,9,FALSE)),0),"")</f>
        <v/>
      </c>
      <c r="I17" s="28" t="str">
        <f ca="1">IFERROR(MATCH(E17, INDIRECT(VLOOKUP($A17,ref_questions!$A:$J,10,FALSE)),0),"")</f>
        <v/>
      </c>
    </row>
    <row r="18" spans="1:9" x14ac:dyDescent="0.25">
      <c r="A18" s="28">
        <f t="shared" si="0"/>
        <v>17</v>
      </c>
      <c r="B18" s="51" t="str">
        <f ca="1">IFERROR(VLOOKUP($A18,ref_questions!$A:$F,6,FALSE),"")</f>
        <v/>
      </c>
      <c r="C18" s="52"/>
      <c r="D18" s="52"/>
      <c r="E18" s="52"/>
      <c r="F18" s="29"/>
      <c r="G18" s="28" t="str">
        <f ca="1">IFERROR(MATCH(C18, INDIRECT(VLOOKUP($A18,ref_questions!$A:$J,8,FALSE)),0),"")</f>
        <v/>
      </c>
      <c r="H18" s="28" t="str">
        <f ca="1">IFERROR(MATCH(D18, INDIRECT(VLOOKUP($A18,ref_questions!$A:$J,9,FALSE)),0),"")</f>
        <v/>
      </c>
      <c r="I18" s="28" t="str">
        <f ca="1">IFERROR(MATCH(E18, INDIRECT(VLOOKUP($A18,ref_questions!$A:$J,10,FALSE)),0),"")</f>
        <v/>
      </c>
    </row>
    <row r="19" spans="1:9" x14ac:dyDescent="0.25">
      <c r="A19" s="28">
        <f t="shared" si="0"/>
        <v>18</v>
      </c>
      <c r="B19" s="51" t="str">
        <f ca="1">IFERROR(VLOOKUP($A19,ref_questions!$A:$F,6,FALSE),"")</f>
        <v/>
      </c>
      <c r="C19" s="52"/>
      <c r="D19" s="52"/>
      <c r="E19" s="52"/>
      <c r="F19" s="29"/>
      <c r="G19" s="28" t="str">
        <f ca="1">IFERROR(MATCH(C19, INDIRECT(VLOOKUP($A19,ref_questions!$A:$J,8,FALSE)),0),"")</f>
        <v/>
      </c>
      <c r="H19" s="28" t="str">
        <f ca="1">IFERROR(MATCH(D19, INDIRECT(VLOOKUP($A19,ref_questions!$A:$J,9,FALSE)),0),"")</f>
        <v/>
      </c>
      <c r="I19" s="28" t="str">
        <f ca="1">IFERROR(MATCH(E19, INDIRECT(VLOOKUP($A19,ref_questions!$A:$J,10,FALSE)),0),"")</f>
        <v/>
      </c>
    </row>
    <row r="20" spans="1:9" x14ac:dyDescent="0.25">
      <c r="A20" s="28">
        <f t="shared" si="0"/>
        <v>19</v>
      </c>
      <c r="B20" s="51" t="str">
        <f ca="1">IFERROR(VLOOKUP($A20,ref_questions!$A:$F,6,FALSE),"")</f>
        <v/>
      </c>
      <c r="C20" s="52"/>
      <c r="D20" s="52"/>
      <c r="E20" s="52"/>
      <c r="F20" s="29"/>
      <c r="G20" s="28" t="str">
        <f ca="1">IFERROR(MATCH(C20, INDIRECT(VLOOKUP($A20,ref_questions!$A:$J,8,FALSE)),0),"")</f>
        <v/>
      </c>
      <c r="H20" s="28" t="str">
        <f ca="1">IFERROR(MATCH(D20, INDIRECT(VLOOKUP($A20,ref_questions!$A:$J,9,FALSE)),0),"")</f>
        <v/>
      </c>
      <c r="I20" s="28" t="str">
        <f ca="1">IFERROR(MATCH(E20, INDIRECT(VLOOKUP($A20,ref_questions!$A:$J,10,FALSE)),0),"")</f>
        <v/>
      </c>
    </row>
    <row r="21" spans="1:9" x14ac:dyDescent="0.25">
      <c r="A21" s="28">
        <f t="shared" si="0"/>
        <v>20</v>
      </c>
      <c r="B21" s="51" t="str">
        <f ca="1">IFERROR(VLOOKUP($A21,ref_questions!$A:$F,6,FALSE),"")</f>
        <v/>
      </c>
      <c r="C21" s="52"/>
      <c r="D21" s="52"/>
      <c r="E21" s="52"/>
      <c r="F21" s="29"/>
      <c r="G21" s="28" t="str">
        <f ca="1">IFERROR(MATCH(C21, INDIRECT(VLOOKUP($A21,ref_questions!$A:$J,8,FALSE)),0),"")</f>
        <v/>
      </c>
      <c r="H21" s="28" t="str">
        <f ca="1">IFERROR(MATCH(D21, INDIRECT(VLOOKUP($A21,ref_questions!$A:$J,9,FALSE)),0),"")</f>
        <v/>
      </c>
      <c r="I21" s="28" t="str">
        <f ca="1">IFERROR(MATCH(E21, INDIRECT(VLOOKUP($A21,ref_questions!$A:$J,10,FALSE)),0),"")</f>
        <v/>
      </c>
    </row>
    <row r="22" spans="1:9" x14ac:dyDescent="0.25">
      <c r="A22" s="28">
        <f t="shared" si="0"/>
        <v>21</v>
      </c>
      <c r="B22" s="51" t="str">
        <f ca="1">IFERROR(VLOOKUP($A22,ref_questions!$A:$F,6,FALSE),"")</f>
        <v/>
      </c>
      <c r="C22" s="52"/>
      <c r="D22" s="52"/>
      <c r="E22" s="52"/>
      <c r="F22" s="29"/>
      <c r="G22" s="28" t="str">
        <f ca="1">IFERROR(MATCH(C22, INDIRECT(VLOOKUP($A22,ref_questions!$A:$J,8,FALSE)),0),"")</f>
        <v/>
      </c>
      <c r="H22" s="28" t="str">
        <f ca="1">IFERROR(MATCH(D22, INDIRECT(VLOOKUP($A22,ref_questions!$A:$J,9,FALSE)),0),"")</f>
        <v/>
      </c>
      <c r="I22" s="28" t="str">
        <f ca="1">IFERROR(MATCH(E22, INDIRECT(VLOOKUP($A22,ref_questions!$A:$J,10,FALSE)),0),"")</f>
        <v/>
      </c>
    </row>
    <row r="23" spans="1:9" x14ac:dyDescent="0.25">
      <c r="A23" s="28">
        <f t="shared" si="0"/>
        <v>22</v>
      </c>
      <c r="B23" s="51" t="str">
        <f ca="1">IFERROR(VLOOKUP($A23,ref_questions!$A:$F,6,FALSE),"")</f>
        <v/>
      </c>
      <c r="C23" s="52"/>
      <c r="D23" s="52"/>
      <c r="E23" s="52"/>
      <c r="F23" s="29"/>
      <c r="G23" s="28" t="str">
        <f ca="1">IFERROR(MATCH(C23, INDIRECT(VLOOKUP($A23,ref_questions!$A:$J,8,FALSE)),0),"")</f>
        <v/>
      </c>
      <c r="H23" s="28" t="str">
        <f ca="1">IFERROR(MATCH(D23, INDIRECT(VLOOKUP($A23,ref_questions!$A:$J,9,FALSE)),0),"")</f>
        <v/>
      </c>
      <c r="I23" s="28" t="str">
        <f ca="1">IFERROR(MATCH(E23, INDIRECT(VLOOKUP($A23,ref_questions!$A:$J,10,FALSE)),0),"")</f>
        <v/>
      </c>
    </row>
    <row r="24" spans="1:9" x14ac:dyDescent="0.25">
      <c r="A24" s="28">
        <f t="shared" si="0"/>
        <v>23</v>
      </c>
      <c r="B24" s="51" t="str">
        <f ca="1">IFERROR(VLOOKUP($A24,ref_questions!$A:$F,6,FALSE),"")</f>
        <v/>
      </c>
      <c r="C24" s="52"/>
      <c r="D24" s="52"/>
      <c r="E24" s="52"/>
      <c r="F24" s="29"/>
      <c r="G24" s="28" t="str">
        <f ca="1">IFERROR(MATCH(C24, INDIRECT(VLOOKUP($A24,ref_questions!$A:$J,8,FALSE)),0),"")</f>
        <v/>
      </c>
      <c r="H24" s="28" t="str">
        <f ca="1">IFERROR(MATCH(D24, INDIRECT(VLOOKUP($A24,ref_questions!$A:$J,9,FALSE)),0),"")</f>
        <v/>
      </c>
      <c r="I24" s="28" t="str">
        <f ca="1">IFERROR(MATCH(E24, INDIRECT(VLOOKUP($A24,ref_questions!$A:$J,10,FALSE)),0),"")</f>
        <v/>
      </c>
    </row>
    <row r="25" spans="1:9" x14ac:dyDescent="0.25">
      <c r="A25" s="28">
        <f t="shared" si="0"/>
        <v>24</v>
      </c>
      <c r="B25" s="51" t="str">
        <f ca="1">IFERROR(VLOOKUP($A25,ref_questions!$A:$F,6,FALSE),"")</f>
        <v/>
      </c>
      <c r="C25" s="52"/>
      <c r="D25" s="52"/>
      <c r="E25" s="52"/>
      <c r="F25" s="29"/>
      <c r="G25" s="28" t="str">
        <f ca="1">IFERROR(MATCH(C25, INDIRECT(VLOOKUP($A25,ref_questions!$A:$J,8,FALSE)),0),"")</f>
        <v/>
      </c>
      <c r="H25" s="28" t="str">
        <f ca="1">IFERROR(MATCH(D25, INDIRECT(VLOOKUP($A25,ref_questions!$A:$J,9,FALSE)),0),"")</f>
        <v/>
      </c>
      <c r="I25" s="28" t="str">
        <f ca="1">IFERROR(MATCH(E25, INDIRECT(VLOOKUP($A25,ref_questions!$A:$J,10,FALSE)),0),"")</f>
        <v/>
      </c>
    </row>
    <row r="26" spans="1:9" x14ac:dyDescent="0.25">
      <c r="A26" s="28">
        <f t="shared" si="0"/>
        <v>25</v>
      </c>
      <c r="B26" s="51" t="str">
        <f ca="1">IFERROR(VLOOKUP($A26,ref_questions!$A:$F,6,FALSE),"")</f>
        <v/>
      </c>
      <c r="C26" s="52"/>
      <c r="D26" s="52"/>
      <c r="E26" s="52"/>
      <c r="F26" s="29"/>
      <c r="G26" s="28" t="str">
        <f ca="1">IFERROR(MATCH(C26, INDIRECT(VLOOKUP($A26,ref_questions!$A:$J,8,FALSE)),0),"")</f>
        <v/>
      </c>
      <c r="H26" s="28" t="str">
        <f ca="1">IFERROR(MATCH(D26, INDIRECT(VLOOKUP($A26,ref_questions!$A:$J,9,FALSE)),0),"")</f>
        <v/>
      </c>
      <c r="I26" s="28" t="str">
        <f ca="1">IFERROR(MATCH(E26, INDIRECT(VLOOKUP($A26,ref_questions!$A:$J,10,FALSE)),0),"")</f>
        <v/>
      </c>
    </row>
    <row r="27" spans="1:9" x14ac:dyDescent="0.25">
      <c r="A27" s="28">
        <f t="shared" si="0"/>
        <v>26</v>
      </c>
      <c r="B27" s="51" t="str">
        <f ca="1">IFERROR(VLOOKUP($A27,ref_questions!$A:$F,6,FALSE),"")</f>
        <v/>
      </c>
      <c r="C27" s="52"/>
      <c r="D27" s="52"/>
      <c r="E27" s="52"/>
      <c r="F27" s="29"/>
      <c r="G27" s="28" t="str">
        <f ca="1">IFERROR(MATCH(C27, INDIRECT(VLOOKUP($A27,ref_questions!$A:$J,8,FALSE)),0),"")</f>
        <v/>
      </c>
      <c r="H27" s="28" t="str">
        <f ca="1">IFERROR(MATCH(D27, INDIRECT(VLOOKUP($A27,ref_questions!$A:$J,9,FALSE)),0),"")</f>
        <v/>
      </c>
      <c r="I27" s="28" t="str">
        <f ca="1">IFERROR(MATCH(E27, INDIRECT(VLOOKUP($A27,ref_questions!$A:$J,10,FALSE)),0),"")</f>
        <v/>
      </c>
    </row>
    <row r="28" spans="1:9" x14ac:dyDescent="0.25">
      <c r="A28" s="28">
        <f t="shared" si="0"/>
        <v>27</v>
      </c>
      <c r="B28" s="51" t="str">
        <f ca="1">IFERROR(VLOOKUP($A28,ref_questions!$A:$F,6,FALSE),"")</f>
        <v/>
      </c>
      <c r="C28" s="52"/>
      <c r="D28" s="52"/>
      <c r="E28" s="52"/>
      <c r="F28" s="29"/>
      <c r="G28" s="28" t="str">
        <f ca="1">IFERROR(MATCH(C28, INDIRECT(VLOOKUP($A28,ref_questions!$A:$J,8,FALSE)),0),"")</f>
        <v/>
      </c>
      <c r="H28" s="28" t="str">
        <f ca="1">IFERROR(MATCH(D28, INDIRECT(VLOOKUP($A28,ref_questions!$A:$J,9,FALSE)),0),"")</f>
        <v/>
      </c>
      <c r="I28" s="28" t="str">
        <f ca="1">IFERROR(MATCH(E28, INDIRECT(VLOOKUP($A28,ref_questions!$A:$J,10,FALSE)),0),"")</f>
        <v/>
      </c>
    </row>
    <row r="29" spans="1:9" x14ac:dyDescent="0.25">
      <c r="A29" s="28">
        <f t="shared" si="0"/>
        <v>28</v>
      </c>
      <c r="B29" s="51" t="str">
        <f ca="1">IFERROR(VLOOKUP($A29,ref_questions!$A:$F,6,FALSE),"")</f>
        <v/>
      </c>
      <c r="C29" s="52"/>
      <c r="D29" s="52"/>
      <c r="E29" s="52"/>
      <c r="F29" s="29"/>
      <c r="G29" s="28" t="str">
        <f ca="1">IFERROR(MATCH(C29, INDIRECT(VLOOKUP($A29,ref_questions!$A:$J,8,FALSE)),0),"")</f>
        <v/>
      </c>
      <c r="H29" s="28" t="str">
        <f ca="1">IFERROR(MATCH(D29, INDIRECT(VLOOKUP($A29,ref_questions!$A:$J,9,FALSE)),0),"")</f>
        <v/>
      </c>
      <c r="I29" s="28" t="str">
        <f ca="1">IFERROR(MATCH(E29, INDIRECT(VLOOKUP($A29,ref_questions!$A:$J,10,FALSE)),0),"")</f>
        <v/>
      </c>
    </row>
    <row r="30" spans="1:9" x14ac:dyDescent="0.25">
      <c r="A30" s="28">
        <f t="shared" si="0"/>
        <v>29</v>
      </c>
      <c r="B30" s="51" t="str">
        <f ca="1">IFERROR(VLOOKUP($A30,ref_questions!$A:$F,6,FALSE),"")</f>
        <v/>
      </c>
      <c r="C30" s="52"/>
      <c r="D30" s="52"/>
      <c r="E30" s="52"/>
      <c r="F30" s="29"/>
      <c r="G30" s="28" t="str">
        <f ca="1">IFERROR(MATCH(C30, INDIRECT(VLOOKUP($A30,ref_questions!$A:$J,8,FALSE)),0),"")</f>
        <v/>
      </c>
      <c r="H30" s="28" t="str">
        <f ca="1">IFERROR(MATCH(D30, INDIRECT(VLOOKUP($A30,ref_questions!$A:$J,9,FALSE)),0),"")</f>
        <v/>
      </c>
      <c r="I30" s="28" t="str">
        <f ca="1">IFERROR(MATCH(E30, INDIRECT(VLOOKUP($A30,ref_questions!$A:$J,10,FALSE)),0),"")</f>
        <v/>
      </c>
    </row>
    <row r="31" spans="1:9" x14ac:dyDescent="0.25">
      <c r="A31" s="28">
        <f t="shared" si="0"/>
        <v>30</v>
      </c>
      <c r="B31" s="51" t="str">
        <f ca="1">IFERROR(VLOOKUP($A31,ref_questions!$A:$F,6,FALSE),"")</f>
        <v/>
      </c>
      <c r="C31" s="52"/>
      <c r="D31" s="52"/>
      <c r="E31" s="52"/>
      <c r="F31" s="29"/>
      <c r="G31" s="28" t="str">
        <f ca="1">IFERROR(MATCH(C31, INDIRECT(VLOOKUP($A31,ref_questions!$A:$J,8,FALSE)),0),"")</f>
        <v/>
      </c>
      <c r="H31" s="28" t="str">
        <f ca="1">IFERROR(MATCH(D31, INDIRECT(VLOOKUP($A31,ref_questions!$A:$J,9,FALSE)),0),"")</f>
        <v/>
      </c>
      <c r="I31" s="28" t="str">
        <f ca="1">IFERROR(MATCH(E31, INDIRECT(VLOOKUP($A31,ref_questions!$A:$J,10,FALSE)),0),"")</f>
        <v/>
      </c>
    </row>
    <row r="32" spans="1:9" x14ac:dyDescent="0.25">
      <c r="A32" s="28">
        <f t="shared" si="0"/>
        <v>31</v>
      </c>
      <c r="B32" s="51" t="str">
        <f ca="1">IFERROR(VLOOKUP($A32,ref_questions!$A:$F,6,FALSE),"")</f>
        <v/>
      </c>
      <c r="C32" s="52"/>
      <c r="D32" s="52"/>
      <c r="E32" s="52"/>
      <c r="F32" s="29"/>
      <c r="G32" s="28" t="str">
        <f ca="1">IFERROR(MATCH(C32, INDIRECT(VLOOKUP($A32,ref_questions!$A:$J,8,FALSE)),0),"")</f>
        <v/>
      </c>
      <c r="H32" s="28" t="str">
        <f ca="1">IFERROR(MATCH(D32, INDIRECT(VLOOKUP($A32,ref_questions!$A:$J,9,FALSE)),0),"")</f>
        <v/>
      </c>
      <c r="I32" s="28" t="str">
        <f ca="1">IFERROR(MATCH(E32, INDIRECT(VLOOKUP($A32,ref_questions!$A:$J,10,FALSE)),0),"")</f>
        <v/>
      </c>
    </row>
    <row r="33" spans="1:11" x14ac:dyDescent="0.25">
      <c r="A33" s="28">
        <f t="shared" si="0"/>
        <v>32</v>
      </c>
      <c r="B33" s="51" t="str">
        <f ca="1">IFERROR(VLOOKUP($A33,ref_questions!$A:$F,6,FALSE),"")</f>
        <v/>
      </c>
      <c r="C33" s="52"/>
      <c r="D33" s="52"/>
      <c r="E33" s="52"/>
      <c r="F33" s="29"/>
      <c r="G33" s="28" t="str">
        <f ca="1">IFERROR(MATCH(C33, INDIRECT(VLOOKUP($A33,ref_questions!$A:$J,8,FALSE)),0),"")</f>
        <v/>
      </c>
      <c r="H33" s="28" t="str">
        <f ca="1">IFERROR(MATCH(D33, INDIRECT(VLOOKUP($A33,ref_questions!$A:$J,9,FALSE)),0),"")</f>
        <v/>
      </c>
      <c r="I33" s="28" t="str">
        <f ca="1">IFERROR(MATCH(E33, INDIRECT(VLOOKUP($A33,ref_questions!$A:$J,10,FALSE)),0),"")</f>
        <v/>
      </c>
    </row>
    <row r="34" spans="1:11" x14ac:dyDescent="0.25">
      <c r="A34" s="28">
        <f t="shared" si="0"/>
        <v>33</v>
      </c>
      <c r="B34" s="51" t="str">
        <f ca="1">IFERROR(VLOOKUP($A34,ref_questions!$A:$F,6,FALSE),"")</f>
        <v/>
      </c>
      <c r="C34" s="52"/>
      <c r="D34" s="52"/>
      <c r="E34" s="52"/>
      <c r="F34" s="29"/>
      <c r="G34" s="28" t="str">
        <f ca="1">IFERROR(MATCH(C34, INDIRECT(VLOOKUP($A34,ref_questions!$A:$J,8,FALSE)),0),"")</f>
        <v/>
      </c>
      <c r="H34" s="28" t="str">
        <f ca="1">IFERROR(MATCH(D34, INDIRECT(VLOOKUP($A34,ref_questions!$A:$J,9,FALSE)),0),"")</f>
        <v/>
      </c>
      <c r="I34" s="28" t="str">
        <f ca="1">IFERROR(MATCH(E34, INDIRECT(VLOOKUP($A34,ref_questions!$A:$J,10,FALSE)),0),"")</f>
        <v/>
      </c>
    </row>
    <row r="35" spans="1:11" x14ac:dyDescent="0.25">
      <c r="A35" s="28">
        <f t="shared" si="0"/>
        <v>34</v>
      </c>
      <c r="B35" s="51" t="str">
        <f ca="1">IFERROR(VLOOKUP($A35,ref_questions!$A:$F,6,FALSE),"")</f>
        <v/>
      </c>
      <c r="C35" s="52"/>
      <c r="D35" s="52"/>
      <c r="E35" s="52"/>
      <c r="F35" s="29"/>
      <c r="G35" s="28" t="str">
        <f ca="1">IFERROR(MATCH(C35, INDIRECT(VLOOKUP($A35,ref_questions!$A:$J,8,FALSE)),0),"")</f>
        <v/>
      </c>
      <c r="H35" s="28" t="str">
        <f ca="1">IFERROR(MATCH(D35, INDIRECT(VLOOKUP($A35,ref_questions!$A:$J,9,FALSE)),0),"")</f>
        <v/>
      </c>
      <c r="I35" s="28" t="str">
        <f ca="1">IFERROR(MATCH(E35, INDIRECT(VLOOKUP($A35,ref_questions!$A:$J,10,FALSE)),0),"")</f>
        <v/>
      </c>
    </row>
    <row r="36" spans="1:11" x14ac:dyDescent="0.25">
      <c r="A36" s="28">
        <f t="shared" si="0"/>
        <v>35</v>
      </c>
      <c r="B36" s="51" t="str">
        <f ca="1">IFERROR(VLOOKUP($A36,ref_questions!$A:$F,6,FALSE),"")</f>
        <v/>
      </c>
      <c r="C36" s="52"/>
      <c r="D36" s="52"/>
      <c r="E36" s="52"/>
      <c r="F36" s="29"/>
      <c r="G36" s="28" t="str">
        <f ca="1">IFERROR(MATCH(C36, INDIRECT(VLOOKUP($A36,ref_questions!$A:$J,8,FALSE)),0),"")</f>
        <v/>
      </c>
      <c r="H36" s="28" t="str">
        <f ca="1">IFERROR(MATCH(D36, INDIRECT(VLOOKUP($A36,ref_questions!$A:$J,9,FALSE)),0),"")</f>
        <v/>
      </c>
      <c r="I36" s="28" t="str">
        <f ca="1">IFERROR(MATCH(E36, INDIRECT(VLOOKUP($A36,ref_questions!$A:$J,10,FALSE)),0),"")</f>
        <v/>
      </c>
    </row>
    <row r="37" spans="1:11" x14ac:dyDescent="0.25">
      <c r="A37" s="28">
        <f t="shared" si="0"/>
        <v>36</v>
      </c>
      <c r="B37" s="51" t="str">
        <f ca="1">IFERROR(VLOOKUP($A37,ref_questions!$A:$F,6,FALSE),"")</f>
        <v/>
      </c>
      <c r="C37" s="52"/>
      <c r="D37" s="52"/>
      <c r="E37" s="52"/>
      <c r="F37" s="29"/>
      <c r="G37" s="28" t="str">
        <f ca="1">IFERROR(MATCH(C37, INDIRECT(VLOOKUP($A37,ref_questions!$A:$J,8,FALSE)),0),"")</f>
        <v/>
      </c>
      <c r="H37" s="28" t="str">
        <f ca="1">IFERROR(MATCH(D37, INDIRECT(VLOOKUP($A37,ref_questions!$A:$J,9,FALSE)),0),"")</f>
        <v/>
      </c>
      <c r="I37" s="28" t="str">
        <f ca="1">IFERROR(MATCH(E37, INDIRECT(VLOOKUP($A37,ref_questions!$A:$J,10,FALSE)),0),"")</f>
        <v/>
      </c>
    </row>
    <row r="38" spans="1:11" x14ac:dyDescent="0.25">
      <c r="A38" s="28">
        <f t="shared" si="0"/>
        <v>37</v>
      </c>
      <c r="B38" s="51" t="str">
        <f ca="1">IFERROR(VLOOKUP($A38,ref_questions!$A:$F,6,FALSE),"")</f>
        <v/>
      </c>
      <c r="C38" s="52"/>
      <c r="D38" s="52"/>
      <c r="E38" s="52"/>
      <c r="F38" s="29"/>
      <c r="G38" s="28" t="str">
        <f ca="1">IFERROR(MATCH(C38, INDIRECT(VLOOKUP($A38,ref_questions!$A:$J,8,FALSE)),0),"")</f>
        <v/>
      </c>
      <c r="H38" s="28" t="str">
        <f ca="1">IFERROR(MATCH(D38, INDIRECT(VLOOKUP($A38,ref_questions!$A:$J,9,FALSE)),0),"")</f>
        <v/>
      </c>
      <c r="I38" s="28" t="str">
        <f ca="1">IFERROR(MATCH(E38, INDIRECT(VLOOKUP($A38,ref_questions!$A:$J,10,FALSE)),0),"")</f>
        <v/>
      </c>
    </row>
    <row r="39" spans="1:11" x14ac:dyDescent="0.25">
      <c r="A39" s="28">
        <f t="shared" si="0"/>
        <v>38</v>
      </c>
      <c r="B39" s="51" t="str">
        <f ca="1">IFERROR(VLOOKUP($A39,ref_questions!$A:$F,6,FALSE),"")</f>
        <v/>
      </c>
      <c r="C39" s="52"/>
      <c r="D39" s="52"/>
      <c r="E39" s="52"/>
      <c r="F39" s="29"/>
      <c r="G39" s="28" t="str">
        <f ca="1">IFERROR(MATCH(C39, INDIRECT(VLOOKUP($A39,ref_questions!$A:$J,8,FALSE)),0),"")</f>
        <v/>
      </c>
      <c r="H39" s="28" t="str">
        <f ca="1">IFERROR(MATCH(D39, INDIRECT(VLOOKUP($A39,ref_questions!$A:$J,9,FALSE)),0),"")</f>
        <v/>
      </c>
      <c r="I39" s="28" t="str">
        <f ca="1">IFERROR(MATCH(E39, INDIRECT(VLOOKUP($A39,ref_questions!$A:$J,10,FALSE)),0),"")</f>
        <v/>
      </c>
    </row>
    <row r="40" spans="1:11" x14ac:dyDescent="0.25">
      <c r="A40" s="28">
        <f t="shared" si="0"/>
        <v>39</v>
      </c>
      <c r="B40" s="51" t="str">
        <f ca="1">IFERROR(VLOOKUP($A40,ref_questions!$A:$F,6,FALSE),"")</f>
        <v/>
      </c>
      <c r="C40" s="52"/>
      <c r="D40" s="52"/>
      <c r="E40" s="52"/>
      <c r="F40" s="29"/>
      <c r="G40" s="28" t="str">
        <f ca="1">IFERROR(MATCH(C40, INDIRECT(VLOOKUP($A40,ref_questions!$A:$J,8,FALSE)),0),"")</f>
        <v/>
      </c>
      <c r="H40" s="28" t="str">
        <f ca="1">IFERROR(MATCH(D40, INDIRECT(VLOOKUP($A40,ref_questions!$A:$J,9,FALSE)),0),"")</f>
        <v/>
      </c>
      <c r="I40" s="28" t="str">
        <f ca="1">IFERROR(MATCH(E40, INDIRECT(VLOOKUP($A40,ref_questions!$A:$J,10,FALSE)),0),"")</f>
        <v/>
      </c>
    </row>
    <row r="41" spans="1:11" x14ac:dyDescent="0.25">
      <c r="A41" s="28">
        <f t="shared" si="0"/>
        <v>40</v>
      </c>
      <c r="B41" s="51" t="str">
        <f ca="1">IFERROR(VLOOKUP($A41,ref_questions!$A:$F,6,FALSE),"")</f>
        <v/>
      </c>
      <c r="C41" s="52"/>
      <c r="D41" s="52"/>
      <c r="E41" s="52"/>
      <c r="F41" s="29"/>
      <c r="G41" s="28" t="str">
        <f ca="1">IFERROR(MATCH(C41, INDIRECT(VLOOKUP($A41,ref_questions!$A:$J,8,FALSE)),0),"")</f>
        <v/>
      </c>
      <c r="H41" s="28" t="str">
        <f ca="1">IFERROR(MATCH(D41, INDIRECT(VLOOKUP($A41,ref_questions!$A:$J,9,FALSE)),0),"")</f>
        <v/>
      </c>
      <c r="I41" s="28" t="str">
        <f ca="1">IFERROR(MATCH(E41, INDIRECT(VLOOKUP($A41,ref_questions!$A:$J,10,FALSE)),0),"")</f>
        <v/>
      </c>
    </row>
    <row r="42" spans="1:11" x14ac:dyDescent="0.25">
      <c r="A42" s="28">
        <f t="shared" si="0"/>
        <v>41</v>
      </c>
      <c r="B42" s="51" t="str">
        <f ca="1">IFERROR(VLOOKUP($A42,ref_questions!$A:$F,6,FALSE),"")</f>
        <v/>
      </c>
      <c r="C42" s="52"/>
      <c r="D42" s="52"/>
      <c r="E42" s="52"/>
      <c r="F42" s="29"/>
      <c r="G42" s="28" t="str">
        <f ca="1">IFERROR(MATCH(C42, INDIRECT(VLOOKUP($A42,ref_questions!$A:$J,8,FALSE)),0),"")</f>
        <v/>
      </c>
      <c r="H42" s="28" t="str">
        <f ca="1">IFERROR(MATCH(D42, INDIRECT(VLOOKUP($A42,ref_questions!$A:$J,9,FALSE)),0),"")</f>
        <v/>
      </c>
      <c r="I42" s="28" t="str">
        <f ca="1">IFERROR(MATCH(E42, INDIRECT(VLOOKUP($A42,ref_questions!$A:$J,10,FALSE)),0),"")</f>
        <v/>
      </c>
    </row>
    <row r="43" spans="1:11" x14ac:dyDescent="0.25">
      <c r="A43" s="28">
        <f t="shared" si="0"/>
        <v>42</v>
      </c>
      <c r="B43" s="51" t="str">
        <f ca="1">IFERROR(VLOOKUP($A43,ref_questions!$A:$F,6,FALSE),"")</f>
        <v/>
      </c>
      <c r="C43" s="52"/>
      <c r="D43" s="52"/>
      <c r="E43" s="52"/>
      <c r="F43" s="29"/>
      <c r="G43" s="28" t="str">
        <f ca="1">IFERROR(MATCH(C43, INDIRECT(VLOOKUP($A43,ref_questions!$A:$J,8,FALSE)),0),"")</f>
        <v/>
      </c>
      <c r="H43" s="28" t="str">
        <f ca="1">IFERROR(MATCH(D43, INDIRECT(VLOOKUP($A43,ref_questions!$A:$J,9,FALSE)),0),"")</f>
        <v/>
      </c>
      <c r="I43" s="28" t="str">
        <f ca="1">IFERROR(MATCH(E43, INDIRECT(VLOOKUP($A43,ref_questions!$A:$J,10,FALSE)),0),"")</f>
        <v/>
      </c>
    </row>
    <row r="44" spans="1:11" x14ac:dyDescent="0.25">
      <c r="A44" s="28">
        <f t="shared" si="0"/>
        <v>43</v>
      </c>
      <c r="B44" s="51" t="str">
        <f ca="1">IFERROR(VLOOKUP($A44,ref_questions!$A:$F,6,FALSE),"")</f>
        <v/>
      </c>
      <c r="C44" s="52"/>
      <c r="D44" s="52"/>
      <c r="E44" s="52"/>
      <c r="F44" s="29"/>
      <c r="G44" s="28" t="str">
        <f ca="1">IFERROR(MATCH(C44, INDIRECT(VLOOKUP($A44,ref_questions!$A:$J,8,FALSE)),0),"")</f>
        <v/>
      </c>
      <c r="H44" s="28" t="str">
        <f ca="1">IFERROR(MATCH(D44, INDIRECT(VLOOKUP($A44,ref_questions!$A:$J,9,FALSE)),0),"")</f>
        <v/>
      </c>
      <c r="I44" s="28" t="str">
        <f ca="1">IFERROR(MATCH(E44, INDIRECT(VLOOKUP($A44,ref_questions!$A:$J,10,FALSE)),0),"")</f>
        <v/>
      </c>
    </row>
    <row r="45" spans="1:11" x14ac:dyDescent="0.25">
      <c r="A45" s="28">
        <f t="shared" si="0"/>
        <v>44</v>
      </c>
      <c r="B45" s="51" t="str">
        <f ca="1">IFERROR(VLOOKUP($A45,ref_questions!$A:$F,6,FALSE),"")</f>
        <v/>
      </c>
      <c r="C45" s="52"/>
      <c r="D45" s="52"/>
      <c r="E45" s="52"/>
      <c r="F45" s="29"/>
      <c r="G45" s="28" t="str">
        <f ca="1">IFERROR(MATCH(C45, INDIRECT(VLOOKUP($A45,ref_questions!$A:$J,8,FALSE)),0),"")</f>
        <v/>
      </c>
      <c r="H45" s="28" t="str">
        <f ca="1">IFERROR(MATCH(D45, INDIRECT(VLOOKUP($A45,ref_questions!$A:$J,9,FALSE)),0),"")</f>
        <v/>
      </c>
      <c r="I45" s="28" t="str">
        <f ca="1">IFERROR(MATCH(E45, INDIRECT(VLOOKUP($A45,ref_questions!$A:$J,10,FALSE)),0),"")</f>
        <v/>
      </c>
    </row>
    <row r="46" spans="1:11" x14ac:dyDescent="0.25">
      <c r="A46" s="28">
        <f t="shared" si="0"/>
        <v>45</v>
      </c>
      <c r="B46" s="51" t="str">
        <f ca="1">IFERROR(VLOOKUP($A46,ref_questions!$A:$F,6,FALSE),"")</f>
        <v/>
      </c>
      <c r="C46" s="52"/>
      <c r="D46" s="52"/>
      <c r="E46" s="52"/>
      <c r="F46" s="29"/>
      <c r="G46" s="28" t="str">
        <f ca="1">IFERROR(MATCH(C46, INDIRECT(VLOOKUP($A46,ref_questions!$A:$J,8,FALSE)),0),"")</f>
        <v/>
      </c>
      <c r="H46" s="28" t="str">
        <f ca="1">IFERROR(MATCH(D46, INDIRECT(VLOOKUP($A46,ref_questions!$A:$J,9,FALSE)),0),"")</f>
        <v/>
      </c>
      <c r="I46" s="28" t="str">
        <f ca="1">IFERROR(MATCH(E46, INDIRECT(VLOOKUP($A46,ref_questions!$A:$J,8,FALSE)),0),"")</f>
        <v/>
      </c>
      <c r="J46" s="28" t="str">
        <f ca="1">IFERROR(MATCH(F46, INDIRECT(VLOOKUP($A46,ref_questions!$A:$J,9,FALSE)),0),"")</f>
        <v/>
      </c>
      <c r="K46" s="28" t="str">
        <f ca="1">IFERROR(MATCH(G46, INDIRECT(VLOOKUP($A46,ref_questions!$A:$J,10,FALSE)),0),"")</f>
        <v/>
      </c>
    </row>
    <row r="47" spans="1:11" x14ac:dyDescent="0.25">
      <c r="A47" s="28">
        <f t="shared" si="0"/>
        <v>46</v>
      </c>
      <c r="B47" s="51" t="str">
        <f ca="1">IFERROR(VLOOKUP($A47,ref_questions!$A:$F,6,FALSE),"")</f>
        <v/>
      </c>
      <c r="C47" s="52"/>
      <c r="D47" s="52"/>
      <c r="E47" s="52"/>
      <c r="F47" s="29"/>
      <c r="G47" s="28" t="str">
        <f ca="1">IFERROR(MATCH(C47, INDIRECT(VLOOKUP($A47,ref_questions!$A:$J,8,FALSE)),0),"")</f>
        <v/>
      </c>
      <c r="H47" s="28" t="str">
        <f ca="1">IFERROR(MATCH(D47, INDIRECT(VLOOKUP($A47,ref_questions!$A:$J,9,FALSE)),0),"")</f>
        <v/>
      </c>
      <c r="I47" s="28" t="str">
        <f ca="1">IFERROR(MATCH(E47, INDIRECT(VLOOKUP($A47,ref_questions!$A:$J,10,FALSE)),0),"")</f>
        <v/>
      </c>
    </row>
    <row r="48" spans="1:11" x14ac:dyDescent="0.25">
      <c r="A48" s="28">
        <f t="shared" si="0"/>
        <v>47</v>
      </c>
      <c r="B48" s="51" t="str">
        <f ca="1">IFERROR(VLOOKUP($A48,ref_questions!$A:$F,6,FALSE),"")</f>
        <v/>
      </c>
      <c r="C48" s="52"/>
      <c r="D48" s="52"/>
      <c r="E48" s="52"/>
      <c r="F48" s="29"/>
      <c r="G48" s="28" t="str">
        <f ca="1">IFERROR(MATCH(C48, INDIRECT(VLOOKUP($A48,ref_questions!$A:$J,8,FALSE)),0),"")</f>
        <v/>
      </c>
      <c r="H48" s="28" t="str">
        <f ca="1">IFERROR(MATCH(D48, INDIRECT(VLOOKUP($A48,ref_questions!$A:$J,9,FALSE)),0),"")</f>
        <v/>
      </c>
      <c r="I48" s="28" t="str">
        <f ca="1">IFERROR(MATCH(E48, INDIRECT(VLOOKUP($A48,ref_questions!$A:$J,10,FALSE)),0),"")</f>
        <v/>
      </c>
    </row>
    <row r="49" spans="1:9" x14ac:dyDescent="0.25">
      <c r="A49" s="28">
        <f t="shared" si="0"/>
        <v>48</v>
      </c>
      <c r="B49" s="51" t="str">
        <f ca="1">IFERROR(VLOOKUP($A49,ref_questions!$A:$F,6,FALSE),"")</f>
        <v/>
      </c>
      <c r="C49" s="52"/>
      <c r="D49" s="52"/>
      <c r="E49" s="52"/>
      <c r="F49" s="29"/>
      <c r="G49" s="28" t="str">
        <f ca="1">IFERROR(MATCH(C49, INDIRECT(VLOOKUP($A49,ref_questions!$A:$J,8,FALSE)),0),"")</f>
        <v/>
      </c>
      <c r="H49" s="28" t="str">
        <f ca="1">IFERROR(MATCH(D49, INDIRECT(VLOOKUP($A49,ref_questions!$A:$J,9,FALSE)),0),"")</f>
        <v/>
      </c>
      <c r="I49" s="28" t="str">
        <f ca="1">IFERROR(MATCH(E49, INDIRECT(VLOOKUP($A49,ref_questions!$A:$J,10,FALSE)),0),"")</f>
        <v/>
      </c>
    </row>
    <row r="50" spans="1:9" x14ac:dyDescent="0.25">
      <c r="A50" s="28">
        <f t="shared" si="0"/>
        <v>49</v>
      </c>
      <c r="B50" s="51" t="str">
        <f ca="1">IFERROR(VLOOKUP($A50,ref_questions!$A:$F,6,FALSE),"")</f>
        <v/>
      </c>
      <c r="C50" s="52"/>
      <c r="D50" s="52"/>
      <c r="E50" s="52"/>
      <c r="F50" s="29"/>
      <c r="G50" s="28" t="str">
        <f ca="1">IFERROR(MATCH(C50, INDIRECT(VLOOKUP($A50,ref_questions!$A:$J,8,FALSE)),0),"")</f>
        <v/>
      </c>
      <c r="H50" s="28" t="str">
        <f ca="1">IFERROR(MATCH(D50, INDIRECT(VLOOKUP($A50,ref_questions!$A:$J,9,FALSE)),0),"")</f>
        <v/>
      </c>
      <c r="I50" s="28" t="str">
        <f ca="1">IFERROR(MATCH(E50, INDIRECT(VLOOKUP($A50,ref_questions!$A:$J,10,FALSE)),0),"")</f>
        <v/>
      </c>
    </row>
    <row r="51" spans="1:9" x14ac:dyDescent="0.25">
      <c r="A51" s="28">
        <f t="shared" si="0"/>
        <v>50</v>
      </c>
      <c r="B51" s="51" t="str">
        <f ca="1">IFERROR(VLOOKUP($A51,ref_questions!$A:$F,6,FALSE),"")</f>
        <v/>
      </c>
      <c r="C51" s="52"/>
      <c r="D51" s="52"/>
      <c r="E51" s="52"/>
      <c r="F51" s="29"/>
      <c r="G51" s="28" t="str">
        <f ca="1">IFERROR(MATCH(C51, INDIRECT(VLOOKUP($A51,ref_questions!$A:$J,8,FALSE)),0),"")</f>
        <v/>
      </c>
      <c r="H51" s="28" t="str">
        <f ca="1">IFERROR(MATCH(D51, INDIRECT(VLOOKUP($A51,ref_questions!$A:$J,9,FALSE)),0),"")</f>
        <v/>
      </c>
      <c r="I51" s="28" t="str">
        <f ca="1">IFERROR(MATCH(E51, INDIRECT(VLOOKUP($A51,ref_questions!$A:$J,10,FALSE)),0),"")</f>
        <v/>
      </c>
    </row>
    <row r="52" spans="1:9" x14ac:dyDescent="0.25">
      <c r="A52" s="28">
        <f t="shared" si="0"/>
        <v>51</v>
      </c>
      <c r="B52" s="51" t="str">
        <f ca="1">IFERROR(VLOOKUP($A52,ref_questions!$A:$F,6,FALSE),"")</f>
        <v/>
      </c>
      <c r="C52" s="52"/>
      <c r="D52" s="52"/>
      <c r="E52" s="52"/>
      <c r="F52" s="29"/>
      <c r="G52" s="28" t="str">
        <f ca="1">IFERROR(MATCH(C52, INDIRECT(VLOOKUP($A52,ref_questions!$A:$J,8,FALSE)),0),"")</f>
        <v/>
      </c>
      <c r="H52" s="28" t="str">
        <f ca="1">IFERROR(MATCH(D52, INDIRECT(VLOOKUP($A52,ref_questions!$A:$J,9,FALSE)),0),"")</f>
        <v/>
      </c>
      <c r="I52" s="28" t="str">
        <f ca="1">IFERROR(MATCH(E52, INDIRECT(VLOOKUP($A52,ref_questions!$A:$J,10,FALSE)),0),"")</f>
        <v/>
      </c>
    </row>
  </sheetData>
  <sheetProtection sheet="1" objects="1" scenarios="1"/>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14:formula1>
            <xm:f>INDIRECT(VLOOKUP($A2,ref_questions!$A:$J,8,FALSE))</xm:f>
          </x14:formula1>
          <xm:sqref>C2</xm:sqref>
        </x14:dataValidation>
        <x14:dataValidation type="list" allowBlank="1" showInputMessage="1" showErrorMessage="1">
          <x14:formula1>
            <xm:f>INDIRECT(VLOOKUP($A2,ref_questions!$A:$J,9,FALSE))</xm:f>
          </x14:formula1>
          <xm:sqref>D2</xm:sqref>
        </x14:dataValidation>
        <x14:dataValidation type="list" allowBlank="1" showInputMessage="1" showErrorMessage="1">
          <x14:formula1>
            <xm:f>INDIRECT(VLOOKUP($A2,ref_questions!$A:$J,10,FALSE))</xm:f>
          </x14:formula1>
          <xm:sqref>E2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5" tint="-0.249977111117893"/>
  </sheetPr>
  <dimension ref="A1:B25"/>
  <sheetViews>
    <sheetView workbookViewId="0">
      <pane xSplit="2" ySplit="1" topLeftCell="C2" activePane="bottomRight" state="frozen"/>
      <selection pane="topRight" activeCell="C1" sqref="C1"/>
      <selection pane="bottomLeft" activeCell="A2" sqref="A2"/>
      <selection pane="bottomRight" activeCell="B4" sqref="B4"/>
    </sheetView>
  </sheetViews>
  <sheetFormatPr defaultRowHeight="15" x14ac:dyDescent="0.25"/>
  <cols>
    <col min="1" max="1" width="4.7109375" style="50" customWidth="1"/>
    <col min="2" max="2" width="71.42578125" style="30" customWidth="1"/>
  </cols>
  <sheetData>
    <row r="1" spans="1:2" x14ac:dyDescent="0.25">
      <c r="A1" s="48" t="s">
        <v>245</v>
      </c>
      <c r="B1" s="49" t="s">
        <v>246</v>
      </c>
    </row>
    <row r="2" spans="1:2" ht="30" x14ac:dyDescent="0.25">
      <c r="A2" s="50">
        <v>1</v>
      </c>
      <c r="B2" s="30" t="str">
        <f ca="1">IFERROR(OFFSET(ref_services!$F$1,MATCH('Follow-up'!A2,ref_services!S:S,0)-1,0),"")</f>
        <v>Conduct workshop with business unit managers to select common software compliant with official standards for companies who sell services to the Government</v>
      </c>
    </row>
    <row r="3" spans="1:2" x14ac:dyDescent="0.25">
      <c r="A3" s="50">
        <f>A2+1</f>
        <v>2</v>
      </c>
      <c r="B3" s="30" t="str">
        <f ca="1">IFERROR(OFFSET(ref_services!$F$1,MATCH('Follow-up'!A3,ref_services!S:S,0)-1,0),"")</f>
        <v>Consulting Service offering #6</v>
      </c>
    </row>
    <row r="4" spans="1:2" x14ac:dyDescent="0.25">
      <c r="A4" s="50">
        <f t="shared" ref="A4:A25" si="0">A3+1</f>
        <v>3</v>
      </c>
      <c r="B4" s="30" t="str">
        <f ca="1">IFERROR(OFFSET(ref_services!$F$1,MATCH('Follow-up'!A4,ref_services!S:S,0)-1,0),"")</f>
        <v/>
      </c>
    </row>
    <row r="5" spans="1:2" x14ac:dyDescent="0.25">
      <c r="A5" s="50">
        <f t="shared" si="0"/>
        <v>4</v>
      </c>
      <c r="B5" s="30" t="str">
        <f ca="1">IFERROR(OFFSET(ref_services!$F$1,MATCH('Follow-up'!A5,ref_services!S:S,0)-1,0),"")</f>
        <v/>
      </c>
    </row>
    <row r="6" spans="1:2" x14ac:dyDescent="0.25">
      <c r="A6" s="50">
        <f t="shared" si="0"/>
        <v>5</v>
      </c>
      <c r="B6" s="30" t="str">
        <f ca="1">IFERROR(OFFSET(ref_services!$F$1,MATCH('Follow-up'!A6,ref_services!S:S,0)-1,0),"")</f>
        <v/>
      </c>
    </row>
    <row r="7" spans="1:2" x14ac:dyDescent="0.25">
      <c r="A7" s="50">
        <f t="shared" si="0"/>
        <v>6</v>
      </c>
      <c r="B7" s="30" t="str">
        <f ca="1">IFERROR(OFFSET(ref_services!$F$1,MATCH('Follow-up'!A7,ref_services!S:S,0)-1,0),"")</f>
        <v/>
      </c>
    </row>
    <row r="8" spans="1:2" x14ac:dyDescent="0.25">
      <c r="A8" s="50">
        <f t="shared" si="0"/>
        <v>7</v>
      </c>
      <c r="B8" s="30" t="str">
        <f ca="1">IFERROR(OFFSET(ref_services!$F$1,MATCH('Follow-up'!A8,ref_services!S:S,0)-1,0),"")</f>
        <v/>
      </c>
    </row>
    <row r="9" spans="1:2" x14ac:dyDescent="0.25">
      <c r="A9" s="50">
        <f t="shared" si="0"/>
        <v>8</v>
      </c>
      <c r="B9" s="30" t="str">
        <f ca="1">IFERROR(OFFSET(ref_services!$F$1,MATCH('Follow-up'!A9,ref_services!S:S,0)-1,0),"")</f>
        <v/>
      </c>
    </row>
    <row r="10" spans="1:2" x14ac:dyDescent="0.25">
      <c r="A10" s="50">
        <f t="shared" si="0"/>
        <v>9</v>
      </c>
      <c r="B10" s="30" t="str">
        <f ca="1">IFERROR(OFFSET(ref_services!$F$1,MATCH('Follow-up'!A10,ref_services!S:S,0)-1,0),"")</f>
        <v/>
      </c>
    </row>
    <row r="11" spans="1:2" x14ac:dyDescent="0.25">
      <c r="A11" s="50">
        <f t="shared" si="0"/>
        <v>10</v>
      </c>
      <c r="B11" s="30" t="str">
        <f ca="1">IFERROR(OFFSET(ref_services!$F$1,MATCH('Follow-up'!A11,ref_services!S:S,0)-1,0),"")</f>
        <v/>
      </c>
    </row>
    <row r="12" spans="1:2" x14ac:dyDescent="0.25">
      <c r="A12" s="50">
        <f t="shared" si="0"/>
        <v>11</v>
      </c>
      <c r="B12" s="30" t="str">
        <f ca="1">IFERROR(OFFSET(ref_services!$F$1,MATCH('Follow-up'!A12,ref_services!S:S,0)-1,0),"")</f>
        <v/>
      </c>
    </row>
    <row r="13" spans="1:2" x14ac:dyDescent="0.25">
      <c r="A13" s="50">
        <f t="shared" si="0"/>
        <v>12</v>
      </c>
      <c r="B13" s="30" t="str">
        <f ca="1">IFERROR(OFFSET(ref_services!$F$1,MATCH('Follow-up'!A13,ref_services!S:S,0)-1,0),"")</f>
        <v/>
      </c>
    </row>
    <row r="14" spans="1:2" x14ac:dyDescent="0.25">
      <c r="A14" s="50">
        <f t="shared" si="0"/>
        <v>13</v>
      </c>
      <c r="B14" s="30" t="str">
        <f ca="1">IFERROR(OFFSET(ref_services!$F$1,MATCH('Follow-up'!A14,ref_services!S:S,0)-1,0),"")</f>
        <v/>
      </c>
    </row>
    <row r="15" spans="1:2" x14ac:dyDescent="0.25">
      <c r="A15" s="50">
        <f t="shared" si="0"/>
        <v>14</v>
      </c>
      <c r="B15" s="30" t="str">
        <f ca="1">IFERROR(OFFSET(ref_services!$F$1,MATCH('Follow-up'!A15,ref_services!S:S,0)-1,0),"")</f>
        <v/>
      </c>
    </row>
    <row r="16" spans="1:2" x14ac:dyDescent="0.25">
      <c r="A16" s="50">
        <f t="shared" si="0"/>
        <v>15</v>
      </c>
      <c r="B16" s="30" t="str">
        <f ca="1">IFERROR(OFFSET(ref_services!$F$1,MATCH('Follow-up'!A16,ref_services!S:S,0)-1,0),"")</f>
        <v/>
      </c>
    </row>
    <row r="17" spans="1:2" x14ac:dyDescent="0.25">
      <c r="A17" s="50">
        <f t="shared" si="0"/>
        <v>16</v>
      </c>
      <c r="B17" s="30" t="str">
        <f ca="1">IFERROR(OFFSET(ref_services!$F$1,MATCH('Follow-up'!A17,ref_services!S:S,0)-1,0),"")</f>
        <v/>
      </c>
    </row>
    <row r="18" spans="1:2" x14ac:dyDescent="0.25">
      <c r="A18" s="50">
        <f t="shared" si="0"/>
        <v>17</v>
      </c>
      <c r="B18" s="30" t="str">
        <f ca="1">IFERROR(OFFSET(ref_services!$F$1,MATCH('Follow-up'!A18,ref_services!S:S,0)-1,0),"")</f>
        <v/>
      </c>
    </row>
    <row r="19" spans="1:2" x14ac:dyDescent="0.25">
      <c r="A19" s="50">
        <f t="shared" si="0"/>
        <v>18</v>
      </c>
      <c r="B19" s="30" t="str">
        <f ca="1">IFERROR(OFFSET(ref_services!$F$1,MATCH('Follow-up'!A19,ref_services!S:S,0)-1,0),"")</f>
        <v/>
      </c>
    </row>
    <row r="20" spans="1:2" x14ac:dyDescent="0.25">
      <c r="A20" s="50">
        <f t="shared" si="0"/>
        <v>19</v>
      </c>
      <c r="B20" s="30" t="str">
        <f ca="1">IFERROR(OFFSET(ref_services!$F$1,MATCH('Follow-up'!A20,ref_services!S:S,0)-1,0),"")</f>
        <v/>
      </c>
    </row>
    <row r="21" spans="1:2" x14ac:dyDescent="0.25">
      <c r="A21" s="50">
        <f t="shared" si="0"/>
        <v>20</v>
      </c>
      <c r="B21" s="30" t="str">
        <f ca="1">IFERROR(OFFSET(ref_services!$F$1,MATCH('Follow-up'!A21,ref_services!S:S,0)-1,0),"")</f>
        <v/>
      </c>
    </row>
    <row r="22" spans="1:2" x14ac:dyDescent="0.25">
      <c r="A22" s="50">
        <f t="shared" si="0"/>
        <v>21</v>
      </c>
      <c r="B22" s="30" t="str">
        <f ca="1">IFERROR(OFFSET(ref_services!$F$1,MATCH('Follow-up'!A22,ref_services!S:S,0)-1,0),"")</f>
        <v/>
      </c>
    </row>
    <row r="23" spans="1:2" x14ac:dyDescent="0.25">
      <c r="A23" s="50">
        <f t="shared" si="0"/>
        <v>22</v>
      </c>
      <c r="B23" s="30" t="str">
        <f ca="1">IFERROR(OFFSET(ref_services!$F$1,MATCH('Follow-up'!A23,ref_services!S:S,0)-1,0),"")</f>
        <v/>
      </c>
    </row>
    <row r="24" spans="1:2" x14ac:dyDescent="0.25">
      <c r="A24" s="50">
        <f t="shared" si="0"/>
        <v>23</v>
      </c>
      <c r="B24" s="30" t="str">
        <f ca="1">IFERROR(OFFSET(ref_services!$F$1,MATCH('Follow-up'!A24,ref_services!S:S,0)-1,0),"")</f>
        <v/>
      </c>
    </row>
    <row r="25" spans="1:2" x14ac:dyDescent="0.25">
      <c r="A25" s="50">
        <f t="shared" si="0"/>
        <v>24</v>
      </c>
      <c r="B25" s="30" t="str">
        <f ca="1">IFERROR(OFFSET(ref_services!$F$1,MATCH('Follow-up'!A25,ref_services!S:S,0)-1,0),"")</f>
        <v/>
      </c>
    </row>
  </sheetData>
  <sheetProtection sheet="1" objects="1" scenarios="1"/>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5" tint="-0.499984740745262"/>
  </sheetPr>
  <dimension ref="A1:D8"/>
  <sheetViews>
    <sheetView workbookViewId="0">
      <pane ySplit="2" topLeftCell="A3" activePane="bottomLeft" state="frozen"/>
      <selection pane="bottomLeft" activeCell="B1" sqref="B1"/>
    </sheetView>
  </sheetViews>
  <sheetFormatPr defaultRowHeight="15" x14ac:dyDescent="0.25"/>
  <cols>
    <col min="1" max="1" width="12.5703125" customWidth="1"/>
    <col min="2" max="2" width="79.28515625" customWidth="1"/>
    <col min="3" max="3" width="1.28515625" customWidth="1"/>
    <col min="4" max="4" width="63.85546875" customWidth="1"/>
  </cols>
  <sheetData>
    <row r="1" spans="1:4" x14ac:dyDescent="0.25">
      <c r="A1" s="45" t="s">
        <v>288</v>
      </c>
      <c r="B1" s="72" t="s">
        <v>315</v>
      </c>
      <c r="C1" s="45"/>
      <c r="D1" s="67" t="s">
        <v>289</v>
      </c>
    </row>
    <row r="2" spans="1:4" x14ac:dyDescent="0.25">
      <c r="A2" s="45" t="s">
        <v>290</v>
      </c>
      <c r="B2" s="73" t="s">
        <v>301</v>
      </c>
      <c r="C2" s="45"/>
      <c r="D2" s="67"/>
    </row>
    <row r="3" spans="1:4" ht="195" x14ac:dyDescent="0.25">
      <c r="A3" s="45" t="s">
        <v>291</v>
      </c>
      <c r="B3" s="74" t="s">
        <v>302</v>
      </c>
      <c r="C3" s="45"/>
      <c r="D3" s="67" t="s">
        <v>303</v>
      </c>
    </row>
    <row r="4" spans="1:4" ht="25.5" x14ac:dyDescent="0.25">
      <c r="A4" s="45" t="s">
        <v>292</v>
      </c>
      <c r="B4" s="72" t="s">
        <v>304</v>
      </c>
      <c r="C4" s="45"/>
      <c r="D4" s="67" t="s">
        <v>293</v>
      </c>
    </row>
    <row r="5" spans="1:4" ht="25.5" x14ac:dyDescent="0.25">
      <c r="A5" s="45" t="s">
        <v>294</v>
      </c>
      <c r="B5" s="73"/>
      <c r="C5" s="45"/>
      <c r="D5" s="67" t="s">
        <v>305</v>
      </c>
    </row>
    <row r="6" spans="1:4" x14ac:dyDescent="0.25">
      <c r="A6" s="45" t="s">
        <v>295</v>
      </c>
      <c r="B6" s="75">
        <v>1</v>
      </c>
      <c r="C6" s="45"/>
      <c r="D6" s="67" t="s">
        <v>296</v>
      </c>
    </row>
    <row r="7" spans="1:4" x14ac:dyDescent="0.25">
      <c r="A7" s="45" t="s">
        <v>297</v>
      </c>
      <c r="B7" s="45" t="b">
        <v>0</v>
      </c>
      <c r="C7" s="45"/>
      <c r="D7" s="67" t="s">
        <v>298</v>
      </c>
    </row>
    <row r="8" spans="1:4" x14ac:dyDescent="0.25">
      <c r="A8" s="45" t="s">
        <v>299</v>
      </c>
      <c r="B8" s="45" t="b">
        <v>1</v>
      </c>
      <c r="C8" s="45"/>
      <c r="D8" s="67" t="s">
        <v>300</v>
      </c>
    </row>
  </sheetData>
  <sheetProtection sheet="1" objects="1" scenarios="1" selectLockedCells="1"/>
  <hyperlinks>
    <hyperlink ref="B1" r:id="rId1"/>
    <hyperlink ref="B4" r:id="rId2"/>
  </hyperlinks>
  <pageMargins left="0.7" right="0.7" top="0.75" bottom="0.75" header="0.3" footer="0.3"/>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5" tint="-0.499984740745262"/>
  </sheetPr>
  <dimension ref="A1:C2"/>
  <sheetViews>
    <sheetView workbookViewId="0">
      <pane ySplit="1" topLeftCell="A2" activePane="bottomLeft" state="frozen"/>
      <selection pane="bottomLeft" activeCell="A2" sqref="A2"/>
    </sheetView>
  </sheetViews>
  <sheetFormatPr defaultRowHeight="15" x14ac:dyDescent="0.25"/>
  <cols>
    <col min="1" max="1" width="18.7109375" style="2" customWidth="1"/>
    <col min="2" max="2" width="31.140625" customWidth="1"/>
    <col min="3" max="3" width="52.7109375" customWidth="1"/>
  </cols>
  <sheetData>
    <row r="1" spans="1:3" x14ac:dyDescent="0.25">
      <c r="A1" s="70" t="s">
        <v>306</v>
      </c>
      <c r="B1" s="68" t="s">
        <v>307</v>
      </c>
      <c r="C1" s="68" t="s">
        <v>308</v>
      </c>
    </row>
    <row r="2" spans="1:3" x14ac:dyDescent="0.25">
      <c r="A2" s="71">
        <v>42075.498611111114</v>
      </c>
      <c r="B2" t="s">
        <v>314</v>
      </c>
      <c r="C2" t="s">
        <v>301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5" tint="0.39997558519241921"/>
  </sheetPr>
  <dimension ref="A1:J88"/>
  <sheetViews>
    <sheetView workbookViewId="0">
      <pane xSplit="5" ySplit="1" topLeftCell="F2" activePane="bottomRight" state="frozen"/>
      <selection pane="topRight" activeCell="F1" sqref="F1"/>
      <selection pane="bottomLeft" activeCell="A2" sqref="A2"/>
      <selection pane="bottomRight" activeCell="E3" sqref="E3"/>
    </sheetView>
  </sheetViews>
  <sheetFormatPr defaultRowHeight="15" x14ac:dyDescent="0.25"/>
  <cols>
    <col min="1" max="1" width="7.140625" style="31" customWidth="1"/>
    <col min="2" max="2" width="10.5703125" style="31" customWidth="1"/>
    <col min="3" max="3" width="10.140625" style="31" customWidth="1"/>
    <col min="4" max="4" width="10.5703125" style="31" customWidth="1"/>
    <col min="5" max="5" width="9.85546875" style="31" customWidth="1"/>
    <col min="6" max="6" width="50.42578125" style="30" customWidth="1"/>
    <col min="7" max="7" width="7.140625" style="31" hidden="1" customWidth="1"/>
    <col min="8" max="10" width="35" style="30" customWidth="1"/>
    <col min="11" max="16384" width="9.140625" style="30"/>
  </cols>
  <sheetData>
    <row r="1" spans="1:10" s="27" customFormat="1" ht="30" x14ac:dyDescent="0.25">
      <c r="A1" s="32" t="s">
        <v>58</v>
      </c>
      <c r="B1" s="32" t="s">
        <v>135</v>
      </c>
      <c r="C1" s="32" t="s">
        <v>147</v>
      </c>
      <c r="D1" s="32" t="s">
        <v>136</v>
      </c>
      <c r="E1" s="32" t="s">
        <v>148</v>
      </c>
      <c r="F1" s="32" t="s">
        <v>57</v>
      </c>
      <c r="G1" s="32" t="s">
        <v>223</v>
      </c>
      <c r="H1" s="32" t="s">
        <v>220</v>
      </c>
      <c r="I1" s="27" t="s">
        <v>221</v>
      </c>
      <c r="J1" s="27" t="s">
        <v>222</v>
      </c>
    </row>
    <row r="2" spans="1:10" ht="30" x14ac:dyDescent="0.25">
      <c r="A2" s="31">
        <f ca="1">COUNTIFS($E$2:$E2,TRUE,$C$2:$C2,TRUE)</f>
        <v>1</v>
      </c>
      <c r="B2" s="33" t="s">
        <v>151</v>
      </c>
      <c r="C2" s="31" t="b">
        <f ca="1">IFERROR(IF(OFFSET(ref_tree_who!$A$1,MATCH(TRUE,ref_tree_who!$G:$G,0)-1,MATCH(ref_questions!$B2,ref_tree_who!$2:$2,0)-1)="x",TRUE,""),"")</f>
        <v>1</v>
      </c>
      <c r="D2" s="33" t="s">
        <v>137</v>
      </c>
      <c r="E2" s="31" t="b">
        <f ca="1">IFERROR(IF(OFFSET(ref_tree_what!$A$1,MATCH(TRUE,ref_tree_what!$G:$G,0)-1,MATCH(ref_questions!$D2,ref_tree_what!$2:$2,0)-1)="x",TRUE,""),"")</f>
        <v>1</v>
      </c>
      <c r="F2" s="30" t="s">
        <v>216</v>
      </c>
      <c r="G2" s="31">
        <f>ROW(G2)</f>
        <v>2</v>
      </c>
      <c r="H2" s="30" t="s">
        <v>213</v>
      </c>
      <c r="I2" s="30" t="s">
        <v>227</v>
      </c>
      <c r="J2" s="30" t="s">
        <v>228</v>
      </c>
    </row>
    <row r="3" spans="1:10" ht="30" x14ac:dyDescent="0.25">
      <c r="A3" s="31">
        <f ca="1">COUNTIFS($E$2:$E3,TRUE,$C$2:$C3,TRUE)</f>
        <v>2</v>
      </c>
      <c r="B3" s="33" t="s">
        <v>151</v>
      </c>
      <c r="C3" s="31" t="b">
        <f ca="1">IFERROR(IF(OFFSET(ref_tree_who!$A$1,MATCH(TRUE,ref_tree_who!$G:$G,0)-1,MATCH(ref_questions!$B3,ref_tree_who!$2:$2,0)-1)="x",TRUE,""),"")</f>
        <v>1</v>
      </c>
      <c r="D3" s="33" t="s">
        <v>138</v>
      </c>
      <c r="E3" s="31" t="b">
        <f ca="1">IFERROR(IF(OFFSET(ref_tree_what!$A$1,MATCH(TRUE,ref_tree_what!$G:$G,0)-1,MATCH(ref_questions!$D3,ref_tree_what!$2:$2,0)-1)="x",TRUE,""),"")</f>
        <v>1</v>
      </c>
      <c r="F3" s="30" t="s">
        <v>217</v>
      </c>
      <c r="G3" s="31">
        <f t="shared" ref="G3:G66" si="0">ROW(G3)</f>
        <v>3</v>
      </c>
      <c r="H3" s="30" t="s">
        <v>231</v>
      </c>
      <c r="I3" s="30" t="s">
        <v>250</v>
      </c>
      <c r="J3" s="30" t="s">
        <v>251</v>
      </c>
    </row>
    <row r="4" spans="1:10" x14ac:dyDescent="0.25">
      <c r="A4" s="31">
        <f ca="1">COUNTIFS($E$2:$E4,TRUE,$C$2:$C4,TRUE)</f>
        <v>2</v>
      </c>
      <c r="B4" s="33" t="s">
        <v>151</v>
      </c>
      <c r="C4" s="31" t="b">
        <f ca="1">IFERROR(IF(OFFSET(ref_tree_who!$A$1,MATCH(TRUE,ref_tree_who!$G:$G,0)-1,MATCH(ref_questions!$B4,ref_tree_who!$2:$2,0)-1)="x",TRUE,""),"")</f>
        <v>1</v>
      </c>
      <c r="D4" s="33" t="s">
        <v>139</v>
      </c>
      <c r="E4" s="31" t="str">
        <f ca="1">IFERROR(IF(OFFSET(ref_tree_what!$A$1,MATCH(TRUE,ref_tree_what!$G:$G,0)-1,MATCH(ref_questions!$D4,ref_tree_what!$2:$2,0)-1)="x",TRUE,""),"")</f>
        <v/>
      </c>
      <c r="F4" s="30" t="s">
        <v>59</v>
      </c>
      <c r="G4" s="31">
        <f t="shared" si="0"/>
        <v>4</v>
      </c>
    </row>
    <row r="5" spans="1:10" x14ac:dyDescent="0.25">
      <c r="A5" s="31">
        <f ca="1">COUNTIFS($E$2:$E5,TRUE,$C$2:$C5,TRUE)</f>
        <v>2</v>
      </c>
      <c r="B5" s="33" t="s">
        <v>151</v>
      </c>
      <c r="C5" s="31" t="b">
        <f ca="1">IFERROR(IF(OFFSET(ref_tree_who!$A$1,MATCH(TRUE,ref_tree_who!$G:$G,0)-1,MATCH(ref_questions!$B5,ref_tree_who!$2:$2,0)-1)="x",TRUE,""),"")</f>
        <v>1</v>
      </c>
      <c r="D5" s="33" t="s">
        <v>140</v>
      </c>
      <c r="E5" s="31" t="str">
        <f ca="1">IFERROR(IF(OFFSET(ref_tree_what!$A$1,MATCH(TRUE,ref_tree_what!$G:$G,0)-1,MATCH(ref_questions!$D5,ref_tree_what!$2:$2,0)-1)="x",TRUE,""),"")</f>
        <v/>
      </c>
      <c r="F5" s="30" t="s">
        <v>60</v>
      </c>
      <c r="G5" s="31">
        <f t="shared" si="0"/>
        <v>5</v>
      </c>
    </row>
    <row r="6" spans="1:10" x14ac:dyDescent="0.25">
      <c r="A6" s="31">
        <f ca="1">COUNTIFS($E$2:$E6,TRUE,$C$2:$C6,TRUE)</f>
        <v>2</v>
      </c>
      <c r="B6" s="33" t="s">
        <v>151</v>
      </c>
      <c r="C6" s="31" t="b">
        <f ca="1">IFERROR(IF(OFFSET(ref_tree_who!$A$1,MATCH(TRUE,ref_tree_who!$G:$G,0)-1,MATCH(ref_questions!$B6,ref_tree_who!$2:$2,0)-1)="x",TRUE,""),"")</f>
        <v>1</v>
      </c>
      <c r="D6" s="33" t="s">
        <v>141</v>
      </c>
      <c r="E6" s="31" t="str">
        <f ca="1">IFERROR(IF(OFFSET(ref_tree_what!$A$1,MATCH(TRUE,ref_tree_what!$G:$G,0)-1,MATCH(ref_questions!$D6,ref_tree_what!$2:$2,0)-1)="x",TRUE,""),"")</f>
        <v/>
      </c>
      <c r="F6" s="30" t="s">
        <v>61</v>
      </c>
      <c r="G6" s="31">
        <f t="shared" si="0"/>
        <v>6</v>
      </c>
    </row>
    <row r="7" spans="1:10" x14ac:dyDescent="0.25">
      <c r="A7" s="31">
        <f ca="1">COUNTIFS($E$2:$E7,TRUE,$C$2:$C7,TRUE)</f>
        <v>2</v>
      </c>
      <c r="B7" s="33" t="s">
        <v>151</v>
      </c>
      <c r="C7" s="31" t="b">
        <f ca="1">IFERROR(IF(OFFSET(ref_tree_who!$A$1,MATCH(TRUE,ref_tree_who!$G:$G,0)-1,MATCH(ref_questions!$B7,ref_tree_who!$2:$2,0)-1)="x",TRUE,""),"")</f>
        <v>1</v>
      </c>
      <c r="D7" s="33" t="s">
        <v>143</v>
      </c>
      <c r="E7" s="31" t="str">
        <f ca="1">IFERROR(IF(OFFSET(ref_tree_what!$A$1,MATCH(TRUE,ref_tree_what!$G:$G,0)-1,MATCH(ref_questions!$D7,ref_tree_what!$2:$2,0)-1)="x",TRUE,""),"")</f>
        <v/>
      </c>
      <c r="F7" s="30" t="s">
        <v>62</v>
      </c>
      <c r="G7" s="31">
        <f t="shared" si="0"/>
        <v>7</v>
      </c>
    </row>
    <row r="8" spans="1:10" x14ac:dyDescent="0.25">
      <c r="A8" s="31">
        <f ca="1">COUNTIFS($E$2:$E8,TRUE,$C$2:$C8,TRUE)</f>
        <v>2</v>
      </c>
      <c r="B8" s="33" t="s">
        <v>151</v>
      </c>
      <c r="C8" s="31" t="b">
        <f ca="1">IFERROR(IF(OFFSET(ref_tree_who!$A$1,MATCH(TRUE,ref_tree_who!$G:$G,0)-1,MATCH(ref_questions!$B8,ref_tree_who!$2:$2,0)-1)="x",TRUE,""),"")</f>
        <v>1</v>
      </c>
      <c r="D8" s="33" t="s">
        <v>144</v>
      </c>
      <c r="E8" s="31" t="str">
        <f ca="1">IFERROR(IF(OFFSET(ref_tree_what!$A$1,MATCH(TRUE,ref_tree_what!$G:$G,0)-1,MATCH(ref_questions!$D8,ref_tree_what!$2:$2,0)-1)="x",TRUE,""),"")</f>
        <v/>
      </c>
      <c r="F8" s="30" t="s">
        <v>63</v>
      </c>
      <c r="G8" s="31">
        <f t="shared" si="0"/>
        <v>8</v>
      </c>
    </row>
    <row r="9" spans="1:10" x14ac:dyDescent="0.25">
      <c r="A9" s="31">
        <f ca="1">COUNTIFS($E$2:$E9,TRUE,$C$2:$C9,TRUE)</f>
        <v>2</v>
      </c>
      <c r="B9" s="33" t="s">
        <v>151</v>
      </c>
      <c r="C9" s="31" t="b">
        <f ca="1">IFERROR(IF(OFFSET(ref_tree_who!$A$1,MATCH(TRUE,ref_tree_who!$G:$G,0)-1,MATCH(ref_questions!$B9,ref_tree_who!$2:$2,0)-1)="x",TRUE,""),"")</f>
        <v>1</v>
      </c>
      <c r="D9" s="33" t="s">
        <v>145</v>
      </c>
      <c r="E9" s="31" t="str">
        <f ca="1">IFERROR(IF(OFFSET(ref_tree_what!$A$1,MATCH(TRUE,ref_tree_what!$G:$G,0)-1,MATCH(ref_questions!$D9,ref_tree_what!$2:$2,0)-1)="x",TRUE,""),"")</f>
        <v/>
      </c>
      <c r="F9" s="30" t="s">
        <v>64</v>
      </c>
      <c r="G9" s="31">
        <f t="shared" si="0"/>
        <v>9</v>
      </c>
    </row>
    <row r="10" spans="1:10" x14ac:dyDescent="0.25">
      <c r="A10" s="31">
        <f ca="1">COUNTIFS($E$2:$E10,TRUE,$C$2:$C10,TRUE)</f>
        <v>2</v>
      </c>
      <c r="B10" s="33" t="s">
        <v>151</v>
      </c>
      <c r="C10" s="31" t="b">
        <f ca="1">IFERROR(IF(OFFSET(ref_tree_who!$A$1,MATCH(TRUE,ref_tree_who!$G:$G,0)-1,MATCH(ref_questions!$B10,ref_tree_who!$2:$2,0)-1)="x",TRUE,""),"")</f>
        <v>1</v>
      </c>
      <c r="D10" s="33" t="s">
        <v>146</v>
      </c>
      <c r="E10" s="31" t="str">
        <f ca="1">IFERROR(IF(OFFSET(ref_tree_what!$A$1,MATCH(TRUE,ref_tree_what!$G:$G,0)-1,MATCH(ref_questions!$D10,ref_tree_what!$2:$2,0)-1)="x",TRUE,""),"")</f>
        <v/>
      </c>
      <c r="F10" s="30" t="s">
        <v>65</v>
      </c>
      <c r="G10" s="31">
        <f t="shared" si="0"/>
        <v>10</v>
      </c>
    </row>
    <row r="11" spans="1:10" x14ac:dyDescent="0.25">
      <c r="A11" s="31">
        <f ca="1">COUNTIFS($E$2:$E11,TRUE,$C$2:$C11,TRUE)</f>
        <v>2</v>
      </c>
      <c r="B11" s="33" t="s">
        <v>151</v>
      </c>
      <c r="C11" s="31" t="b">
        <f ca="1">IFERROR(IF(OFFSET(ref_tree_who!$A$1,MATCH(TRUE,ref_tree_who!$G:$G,0)-1,MATCH(ref_questions!$B11,ref_tree_who!$2:$2,0)-1)="x",TRUE,""),"")</f>
        <v>1</v>
      </c>
      <c r="D11" s="33" t="s">
        <v>142</v>
      </c>
      <c r="E11" s="31" t="str">
        <f ca="1">IFERROR(IF(OFFSET(ref_tree_what!$A$1,MATCH(TRUE,ref_tree_what!$G:$G,0)-1,MATCH(ref_questions!$D11,ref_tree_what!$2:$2,0)-1)="x",TRUE,""),"")</f>
        <v/>
      </c>
      <c r="F11" s="30" t="s">
        <v>66</v>
      </c>
      <c r="G11" s="31">
        <f t="shared" si="0"/>
        <v>11</v>
      </c>
    </row>
    <row r="12" spans="1:10" x14ac:dyDescent="0.25">
      <c r="A12" s="31">
        <f ca="1">COUNTIFS($E$2:$E12,TRUE,$C$2:$C12,TRUE)</f>
        <v>2</v>
      </c>
      <c r="B12" s="33" t="s">
        <v>151</v>
      </c>
      <c r="C12" s="31" t="b">
        <f ca="1">IFERROR(IF(OFFSET(ref_tree_who!$A$1,MATCH(TRUE,ref_tree_who!$G:$G,0)-1,MATCH(ref_questions!$B12,ref_tree_who!$2:$2,0)-1)="x",TRUE,""),"")</f>
        <v>1</v>
      </c>
      <c r="D12" s="33" t="s">
        <v>152</v>
      </c>
      <c r="E12" s="31" t="str">
        <f ca="1">IFERROR(IF(OFFSET(ref_tree_what!$A$1,MATCH(TRUE,ref_tree_what!$G:$G,0)-1,MATCH(ref_questions!$D12,ref_tree_what!$2:$2,0)-1)="x",TRUE,""),"")</f>
        <v/>
      </c>
      <c r="F12" s="30" t="s">
        <v>67</v>
      </c>
      <c r="G12" s="31">
        <f t="shared" si="0"/>
        <v>12</v>
      </c>
    </row>
    <row r="13" spans="1:10" x14ac:dyDescent="0.25">
      <c r="A13" s="31">
        <f ca="1">COUNTIFS($E$2:$E13,TRUE,$C$2:$C13,TRUE)</f>
        <v>2</v>
      </c>
      <c r="B13" s="33" t="s">
        <v>151</v>
      </c>
      <c r="C13" s="31" t="b">
        <f ca="1">IFERROR(IF(OFFSET(ref_tree_who!$A$1,MATCH(TRUE,ref_tree_who!$G:$G,0)-1,MATCH(ref_questions!$B13,ref_tree_who!$2:$2,0)-1)="x",TRUE,""),"")</f>
        <v>1</v>
      </c>
      <c r="D13" s="33" t="s">
        <v>140</v>
      </c>
      <c r="E13" s="31" t="str">
        <f ca="1">IFERROR(IF(OFFSET(ref_tree_what!$A$1,MATCH(TRUE,ref_tree_what!$G:$G,0)-1,MATCH(ref_questions!$D13,ref_tree_what!$2:$2,0)-1)="x",TRUE,""),"")</f>
        <v/>
      </c>
      <c r="F13" s="30" t="s">
        <v>68</v>
      </c>
      <c r="G13" s="31">
        <f t="shared" si="0"/>
        <v>13</v>
      </c>
    </row>
    <row r="14" spans="1:10" x14ac:dyDescent="0.25">
      <c r="A14" s="31">
        <f ca="1">COUNTIFS($E$2:$E14,TRUE,$C$2:$C14,TRUE)</f>
        <v>3</v>
      </c>
      <c r="B14" s="33" t="str">
        <f t="shared" ref="B14:B15" si="1">"Who" &amp; ROW(B14) - 1</f>
        <v>Who13</v>
      </c>
      <c r="C14" s="31" t="b">
        <f ca="1">IFERROR(IF(OFFSET(ref_tree_who!$A$1,MATCH(TRUE,ref_tree_who!$G:$G,0)-1,MATCH(ref_questions!$B14,ref_tree_who!$2:$2,0)-1)="x",TRUE,""),"")</f>
        <v>1</v>
      </c>
      <c r="D14" s="33" t="s">
        <v>137</v>
      </c>
      <c r="E14" s="31" t="b">
        <f ca="1">IFERROR(IF(OFFSET(ref_tree_what!$A$1,MATCH(TRUE,ref_tree_what!$G:$G,0)-1,MATCH(ref_questions!$D14,ref_tree_what!$2:$2,0)-1)="x",TRUE,""),"")</f>
        <v>1</v>
      </c>
      <c r="F14" s="30" t="s">
        <v>69</v>
      </c>
      <c r="G14" s="31">
        <f t="shared" si="0"/>
        <v>14</v>
      </c>
    </row>
    <row r="15" spans="1:10" x14ac:dyDescent="0.25">
      <c r="A15" s="31">
        <f ca="1">COUNTIFS($E$2:$E15,TRUE,$C$2:$C15,TRUE)</f>
        <v>3</v>
      </c>
      <c r="B15" s="33" t="str">
        <f t="shared" si="1"/>
        <v>Who14</v>
      </c>
      <c r="C15" s="31" t="str">
        <f ca="1">IFERROR(IF(OFFSET(ref_tree_who!$A$1,MATCH(TRUE,ref_tree_who!$G:$G,0)-1,MATCH(ref_questions!$B15,ref_tree_who!$2:$2,0)-1)="x",TRUE,""),"")</f>
        <v/>
      </c>
      <c r="D15" s="33" t="s">
        <v>137</v>
      </c>
      <c r="E15" s="31" t="b">
        <f ca="1">IFERROR(IF(OFFSET(ref_tree_what!$A$1,MATCH(TRUE,ref_tree_what!$G:$G,0)-1,MATCH(ref_questions!$D15,ref_tree_what!$2:$2,0)-1)="x",TRUE,""),"")</f>
        <v>1</v>
      </c>
      <c r="F15" s="30" t="s">
        <v>70</v>
      </c>
      <c r="G15" s="31">
        <f t="shared" si="0"/>
        <v>15</v>
      </c>
    </row>
    <row r="16" spans="1:10" x14ac:dyDescent="0.25">
      <c r="A16" s="31">
        <f ca="1">COUNTIFS($E$2:$E16,TRUE,$C$2:$C16,TRUE)</f>
        <v>3</v>
      </c>
      <c r="B16" s="33" t="str">
        <f t="shared" ref="B16:B66" si="2">"Who" &amp; ROW(B16) - 1</f>
        <v>Who15</v>
      </c>
      <c r="C16" s="31" t="str">
        <f ca="1">IFERROR(IF(OFFSET(ref_tree_who!$A$1,MATCH(TRUE,ref_tree_who!$G:$G,0)-1,MATCH(ref_questions!$B16,ref_tree_who!$2:$2,0)-1)="x",TRUE,""),"")</f>
        <v/>
      </c>
      <c r="D16" s="33" t="s">
        <v>137</v>
      </c>
      <c r="E16" s="31" t="b">
        <f ca="1">IFERROR(IF(OFFSET(ref_tree_what!$A$1,MATCH(TRUE,ref_tree_what!$G:$G,0)-1,MATCH(ref_questions!$D16,ref_tree_what!$2:$2,0)-1)="x",TRUE,""),"")</f>
        <v>1</v>
      </c>
      <c r="F16" s="30" t="s">
        <v>71</v>
      </c>
      <c r="G16" s="31">
        <f t="shared" si="0"/>
        <v>16</v>
      </c>
    </row>
    <row r="17" spans="1:7" x14ac:dyDescent="0.25">
      <c r="A17" s="31">
        <f ca="1">COUNTIFS($E$2:$E17,TRUE,$C$2:$C17,TRUE)</f>
        <v>4</v>
      </c>
      <c r="B17" s="33" t="str">
        <f t="shared" si="2"/>
        <v>Who16</v>
      </c>
      <c r="C17" s="31" t="b">
        <f ca="1">IFERROR(IF(OFFSET(ref_tree_who!$A$1,MATCH(TRUE,ref_tree_who!$G:$G,0)-1,MATCH(ref_questions!$B17,ref_tree_who!$2:$2,0)-1)="x",TRUE,""),"")</f>
        <v>1</v>
      </c>
      <c r="D17" s="33" t="s">
        <v>138</v>
      </c>
      <c r="E17" s="31" t="b">
        <f ca="1">IFERROR(IF(OFFSET(ref_tree_what!$A$1,MATCH(TRUE,ref_tree_what!$G:$G,0)-1,MATCH(ref_questions!$D17,ref_tree_what!$2:$2,0)-1)="x",TRUE,""),"")</f>
        <v>1</v>
      </c>
      <c r="F17" s="30" t="s">
        <v>69</v>
      </c>
      <c r="G17" s="31">
        <f t="shared" si="0"/>
        <v>17</v>
      </c>
    </row>
    <row r="18" spans="1:7" x14ac:dyDescent="0.25">
      <c r="A18" s="31">
        <f ca="1">COUNTIFS($E$2:$E18,TRUE,$C$2:$C18,TRUE)</f>
        <v>4</v>
      </c>
      <c r="B18" s="33" t="str">
        <f t="shared" si="2"/>
        <v>Who17</v>
      </c>
      <c r="C18" s="31" t="str">
        <f ca="1">IFERROR(IF(OFFSET(ref_tree_who!$A$1,MATCH(TRUE,ref_tree_who!$G:$G,0)-1,MATCH(ref_questions!$B18,ref_tree_who!$2:$2,0)-1)="x",TRUE,""),"")</f>
        <v/>
      </c>
      <c r="D18" s="33" t="s">
        <v>138</v>
      </c>
      <c r="E18" s="31" t="b">
        <f ca="1">IFERROR(IF(OFFSET(ref_tree_what!$A$1,MATCH(TRUE,ref_tree_what!$G:$G,0)-1,MATCH(ref_questions!$D18,ref_tree_what!$2:$2,0)-1)="x",TRUE,""),"")</f>
        <v>1</v>
      </c>
      <c r="F18" s="30" t="s">
        <v>70</v>
      </c>
      <c r="G18" s="31">
        <f t="shared" si="0"/>
        <v>18</v>
      </c>
    </row>
    <row r="19" spans="1:7" x14ac:dyDescent="0.25">
      <c r="A19" s="31">
        <f ca="1">COUNTIFS($E$2:$E19,TRUE,$C$2:$C19,TRUE)</f>
        <v>4</v>
      </c>
      <c r="B19" s="33" t="str">
        <f t="shared" si="2"/>
        <v>Who18</v>
      </c>
      <c r="C19" s="31" t="str">
        <f ca="1">IFERROR(IF(OFFSET(ref_tree_who!$A$1,MATCH(TRUE,ref_tree_who!$G:$G,0)-1,MATCH(ref_questions!$B19,ref_tree_who!$2:$2,0)-1)="x",TRUE,""),"")</f>
        <v/>
      </c>
      <c r="D19" s="33" t="s">
        <v>138</v>
      </c>
      <c r="E19" s="31" t="b">
        <f ca="1">IFERROR(IF(OFFSET(ref_tree_what!$A$1,MATCH(TRUE,ref_tree_what!$G:$G,0)-1,MATCH(ref_questions!$D19,ref_tree_what!$2:$2,0)-1)="x",TRUE,""),"")</f>
        <v>1</v>
      </c>
      <c r="F19" s="30" t="s">
        <v>71</v>
      </c>
      <c r="G19" s="31">
        <f t="shared" si="0"/>
        <v>19</v>
      </c>
    </row>
    <row r="20" spans="1:7" x14ac:dyDescent="0.25">
      <c r="A20" s="31">
        <f ca="1">COUNTIFS($E$2:$E20,TRUE,$C$2:$C20,TRUE)</f>
        <v>4</v>
      </c>
      <c r="B20" s="33" t="str">
        <f t="shared" si="2"/>
        <v>Who19</v>
      </c>
      <c r="C20" s="31" t="b">
        <f ca="1">IFERROR(IF(OFFSET(ref_tree_who!$A$1,MATCH(TRUE,ref_tree_who!$G:$G,0)-1,MATCH(ref_questions!$B20,ref_tree_who!$2:$2,0)-1)="x",TRUE,""),"")</f>
        <v>1</v>
      </c>
      <c r="D20" s="33" t="s">
        <v>139</v>
      </c>
      <c r="E20" s="31" t="str">
        <f ca="1">IFERROR(IF(OFFSET(ref_tree_what!$A$1,MATCH(TRUE,ref_tree_what!$G:$G,0)-1,MATCH(ref_questions!$D20,ref_tree_what!$2:$2,0)-1)="x",TRUE,""),"")</f>
        <v/>
      </c>
      <c r="F20" s="30" t="s">
        <v>69</v>
      </c>
      <c r="G20" s="31">
        <f t="shared" si="0"/>
        <v>20</v>
      </c>
    </row>
    <row r="21" spans="1:7" x14ac:dyDescent="0.25">
      <c r="A21" s="31">
        <f ca="1">COUNTIFS($E$2:$E21,TRUE,$C$2:$C21,TRUE)</f>
        <v>4</v>
      </c>
      <c r="B21" s="33" t="str">
        <f t="shared" si="2"/>
        <v>Who20</v>
      </c>
      <c r="C21" s="31" t="str">
        <f ca="1">IFERROR(IF(OFFSET(ref_tree_who!$A$1,MATCH(TRUE,ref_tree_who!$G:$G,0)-1,MATCH(ref_questions!$B21,ref_tree_who!$2:$2,0)-1)="x",TRUE,""),"")</f>
        <v/>
      </c>
      <c r="D21" s="33" t="s">
        <v>139</v>
      </c>
      <c r="E21" s="31" t="str">
        <f ca="1">IFERROR(IF(OFFSET(ref_tree_what!$A$1,MATCH(TRUE,ref_tree_what!$G:$G,0)-1,MATCH(ref_questions!$D21,ref_tree_what!$2:$2,0)-1)="x",TRUE,""),"")</f>
        <v/>
      </c>
      <c r="F21" s="30" t="s">
        <v>70</v>
      </c>
      <c r="G21" s="31">
        <f t="shared" si="0"/>
        <v>21</v>
      </c>
    </row>
    <row r="22" spans="1:7" x14ac:dyDescent="0.25">
      <c r="A22" s="31">
        <f ca="1">COUNTIFS($E$2:$E22,TRUE,$C$2:$C22,TRUE)</f>
        <v>4</v>
      </c>
      <c r="B22" s="33" t="str">
        <f t="shared" si="2"/>
        <v>Who21</v>
      </c>
      <c r="C22" s="31" t="str">
        <f ca="1">IFERROR(IF(OFFSET(ref_tree_who!$A$1,MATCH(TRUE,ref_tree_who!$G:$G,0)-1,MATCH(ref_questions!$B22,ref_tree_who!$2:$2,0)-1)="x",TRUE,""),"")</f>
        <v/>
      </c>
      <c r="D22" s="33" t="s">
        <v>139</v>
      </c>
      <c r="E22" s="31" t="str">
        <f ca="1">IFERROR(IF(OFFSET(ref_tree_what!$A$1,MATCH(TRUE,ref_tree_what!$G:$G,0)-1,MATCH(ref_questions!$D22,ref_tree_what!$2:$2,0)-1)="x",TRUE,""),"")</f>
        <v/>
      </c>
      <c r="F22" s="30" t="s">
        <v>71</v>
      </c>
      <c r="G22" s="31">
        <f t="shared" si="0"/>
        <v>22</v>
      </c>
    </row>
    <row r="23" spans="1:7" x14ac:dyDescent="0.25">
      <c r="A23" s="31">
        <f ca="1">COUNTIFS($E$2:$E23,TRUE,$C$2:$C23,TRUE)</f>
        <v>5</v>
      </c>
      <c r="B23" s="33" t="str">
        <f t="shared" si="2"/>
        <v>Who22</v>
      </c>
      <c r="C23" s="31" t="b">
        <f ca="1">IFERROR(IF(OFFSET(ref_tree_who!$A$1,MATCH(TRUE,ref_tree_who!$G:$G,0)-1,MATCH(ref_questions!$B23,ref_tree_who!$2:$2,0)-1)="x",TRUE,""),"")</f>
        <v>1</v>
      </c>
      <c r="D23" s="33" t="s">
        <v>137</v>
      </c>
      <c r="E23" s="31" t="b">
        <f ca="1">IFERROR(IF(OFFSET(ref_tree_what!$A$1,MATCH(TRUE,ref_tree_what!$G:$G,0)-1,MATCH(ref_questions!$D23,ref_tree_what!$2:$2,0)-1)="x",TRUE,""),"")</f>
        <v>1</v>
      </c>
      <c r="F23" s="30" t="s">
        <v>72</v>
      </c>
      <c r="G23" s="31">
        <f t="shared" si="0"/>
        <v>23</v>
      </c>
    </row>
    <row r="24" spans="1:7" x14ac:dyDescent="0.25">
      <c r="A24" s="31">
        <f ca="1">COUNTIFS($E$2:$E24,TRUE,$C$2:$C24,TRUE)</f>
        <v>5</v>
      </c>
      <c r="B24" s="33" t="str">
        <f t="shared" si="2"/>
        <v>Who23</v>
      </c>
      <c r="C24" s="31" t="str">
        <f ca="1">IFERROR(IF(OFFSET(ref_tree_who!$A$1,MATCH(TRUE,ref_tree_who!$G:$G,0)-1,MATCH(ref_questions!$B24,ref_tree_who!$2:$2,0)-1)="x",TRUE,""),"")</f>
        <v/>
      </c>
      <c r="D24" s="33" t="s">
        <v>137</v>
      </c>
      <c r="E24" s="31" t="b">
        <f ca="1">IFERROR(IF(OFFSET(ref_tree_what!$A$1,MATCH(TRUE,ref_tree_what!$G:$G,0)-1,MATCH(ref_questions!$D24,ref_tree_what!$2:$2,0)-1)="x",TRUE,""),"")</f>
        <v>1</v>
      </c>
      <c r="F24" s="30" t="s">
        <v>73</v>
      </c>
      <c r="G24" s="31">
        <f t="shared" si="0"/>
        <v>24</v>
      </c>
    </row>
    <row r="25" spans="1:7" x14ac:dyDescent="0.25">
      <c r="A25" s="31">
        <f ca="1">COUNTIFS($E$2:$E25,TRUE,$C$2:$C25,TRUE)</f>
        <v>5</v>
      </c>
      <c r="B25" s="33" t="str">
        <f t="shared" si="2"/>
        <v>Who24</v>
      </c>
      <c r="C25" s="31" t="str">
        <f ca="1">IFERROR(IF(OFFSET(ref_tree_who!$A$1,MATCH(TRUE,ref_tree_who!$G:$G,0)-1,MATCH(ref_questions!$B25,ref_tree_who!$2:$2,0)-1)="x",TRUE,""),"")</f>
        <v/>
      </c>
      <c r="D25" s="33" t="s">
        <v>137</v>
      </c>
      <c r="E25" s="31" t="b">
        <f ca="1">IFERROR(IF(OFFSET(ref_tree_what!$A$1,MATCH(TRUE,ref_tree_what!$G:$G,0)-1,MATCH(ref_questions!$D25,ref_tree_what!$2:$2,0)-1)="x",TRUE,""),"")</f>
        <v>1</v>
      </c>
      <c r="F25" s="30" t="s">
        <v>74</v>
      </c>
      <c r="G25" s="31">
        <f t="shared" si="0"/>
        <v>25</v>
      </c>
    </row>
    <row r="26" spans="1:7" x14ac:dyDescent="0.25">
      <c r="A26" s="31">
        <f ca="1">COUNTIFS($E$2:$E26,TRUE,$C$2:$C26,TRUE)</f>
        <v>6</v>
      </c>
      <c r="B26" s="33" t="str">
        <f t="shared" si="2"/>
        <v>Who25</v>
      </c>
      <c r="C26" s="31" t="b">
        <f ca="1">IFERROR(IF(OFFSET(ref_tree_who!$A$1,MATCH(TRUE,ref_tree_who!$G:$G,0)-1,MATCH(ref_questions!$B26,ref_tree_who!$2:$2,0)-1)="x",TRUE,""),"")</f>
        <v>1</v>
      </c>
      <c r="D26" s="33" t="s">
        <v>138</v>
      </c>
      <c r="E26" s="31" t="b">
        <f ca="1">IFERROR(IF(OFFSET(ref_tree_what!$A$1,MATCH(TRUE,ref_tree_what!$G:$G,0)-1,MATCH(ref_questions!$D26,ref_tree_what!$2:$2,0)-1)="x",TRUE,""),"")</f>
        <v>1</v>
      </c>
      <c r="F26" s="30" t="s">
        <v>75</v>
      </c>
      <c r="G26" s="31">
        <f t="shared" si="0"/>
        <v>26</v>
      </c>
    </row>
    <row r="27" spans="1:7" x14ac:dyDescent="0.25">
      <c r="A27" s="31">
        <f ca="1">COUNTIFS($E$2:$E27,TRUE,$C$2:$C27,TRUE)</f>
        <v>6</v>
      </c>
      <c r="B27" s="33" t="str">
        <f t="shared" si="2"/>
        <v>Who26</v>
      </c>
      <c r="C27" s="31" t="str">
        <f ca="1">IFERROR(IF(OFFSET(ref_tree_who!$A$1,MATCH(TRUE,ref_tree_who!$G:$G,0)-1,MATCH(ref_questions!$B27,ref_tree_who!$2:$2,0)-1)="x",TRUE,""),"")</f>
        <v/>
      </c>
      <c r="D27" s="33" t="s">
        <v>138</v>
      </c>
      <c r="E27" s="31" t="b">
        <f ca="1">IFERROR(IF(OFFSET(ref_tree_what!$A$1,MATCH(TRUE,ref_tree_what!$G:$G,0)-1,MATCH(ref_questions!$D27,ref_tree_what!$2:$2,0)-1)="x",TRUE,""),"")</f>
        <v>1</v>
      </c>
      <c r="F27" s="30" t="s">
        <v>76</v>
      </c>
      <c r="G27" s="31">
        <f t="shared" si="0"/>
        <v>27</v>
      </c>
    </row>
    <row r="28" spans="1:7" x14ac:dyDescent="0.25">
      <c r="A28" s="31">
        <f ca="1">COUNTIFS($E$2:$E28,TRUE,$C$2:$C28,TRUE)</f>
        <v>6</v>
      </c>
      <c r="B28" s="33" t="str">
        <f t="shared" si="2"/>
        <v>Who27</v>
      </c>
      <c r="C28" s="31" t="str">
        <f ca="1">IFERROR(IF(OFFSET(ref_tree_who!$A$1,MATCH(TRUE,ref_tree_who!$G:$G,0)-1,MATCH(ref_questions!$B28,ref_tree_who!$2:$2,0)-1)="x",TRUE,""),"")</f>
        <v/>
      </c>
      <c r="D28" s="33" t="s">
        <v>138</v>
      </c>
      <c r="E28" s="31" t="b">
        <f ca="1">IFERROR(IF(OFFSET(ref_tree_what!$A$1,MATCH(TRUE,ref_tree_what!$G:$G,0)-1,MATCH(ref_questions!$D28,ref_tree_what!$2:$2,0)-1)="x",TRUE,""),"")</f>
        <v>1</v>
      </c>
      <c r="F28" s="30" t="s">
        <v>77</v>
      </c>
      <c r="G28" s="31">
        <f t="shared" si="0"/>
        <v>28</v>
      </c>
    </row>
    <row r="29" spans="1:7" x14ac:dyDescent="0.25">
      <c r="A29" s="31">
        <f ca="1">COUNTIFS($E$2:$E29,TRUE,$C$2:$C29,TRUE)</f>
        <v>6</v>
      </c>
      <c r="B29" s="33" t="str">
        <f t="shared" si="2"/>
        <v>Who28</v>
      </c>
      <c r="C29" s="31" t="b">
        <f ca="1">IFERROR(IF(OFFSET(ref_tree_who!$A$1,MATCH(TRUE,ref_tree_who!$G:$G,0)-1,MATCH(ref_questions!$B29,ref_tree_who!$2:$2,0)-1)="x",TRUE,""),"")</f>
        <v>1</v>
      </c>
      <c r="D29" s="33" t="s">
        <v>139</v>
      </c>
      <c r="E29" s="31" t="str">
        <f ca="1">IFERROR(IF(OFFSET(ref_tree_what!$A$1,MATCH(TRUE,ref_tree_what!$G:$G,0)-1,MATCH(ref_questions!$D29,ref_tree_what!$2:$2,0)-1)="x",TRUE,""),"")</f>
        <v/>
      </c>
      <c r="F29" s="30" t="s">
        <v>78</v>
      </c>
      <c r="G29" s="31">
        <f t="shared" si="0"/>
        <v>29</v>
      </c>
    </row>
    <row r="30" spans="1:7" x14ac:dyDescent="0.25">
      <c r="A30" s="31">
        <f ca="1">COUNTIFS($E$2:$E30,TRUE,$C$2:$C30,TRUE)</f>
        <v>6</v>
      </c>
      <c r="B30" s="33" t="str">
        <f t="shared" si="2"/>
        <v>Who29</v>
      </c>
      <c r="C30" s="31" t="str">
        <f ca="1">IFERROR(IF(OFFSET(ref_tree_who!$A$1,MATCH(TRUE,ref_tree_who!$G:$G,0)-1,MATCH(ref_questions!$B30,ref_tree_who!$2:$2,0)-1)="x",TRUE,""),"")</f>
        <v/>
      </c>
      <c r="D30" s="33" t="s">
        <v>139</v>
      </c>
      <c r="E30" s="31" t="str">
        <f ca="1">IFERROR(IF(OFFSET(ref_tree_what!$A$1,MATCH(TRUE,ref_tree_what!$G:$G,0)-1,MATCH(ref_questions!$D30,ref_tree_what!$2:$2,0)-1)="x",TRUE,""),"")</f>
        <v/>
      </c>
      <c r="F30" s="30" t="s">
        <v>79</v>
      </c>
      <c r="G30" s="31">
        <f t="shared" si="0"/>
        <v>30</v>
      </c>
    </row>
    <row r="31" spans="1:7" x14ac:dyDescent="0.25">
      <c r="A31" s="31">
        <f ca="1">COUNTIFS($E$2:$E31,TRUE,$C$2:$C31,TRUE)</f>
        <v>6</v>
      </c>
      <c r="B31" s="33" t="str">
        <f t="shared" si="2"/>
        <v>Who30</v>
      </c>
      <c r="C31" s="31" t="str">
        <f ca="1">IFERROR(IF(OFFSET(ref_tree_who!$A$1,MATCH(TRUE,ref_tree_who!$G:$G,0)-1,MATCH(ref_questions!$B31,ref_tree_who!$2:$2,0)-1)="x",TRUE,""),"")</f>
        <v/>
      </c>
      <c r="D31" s="33" t="s">
        <v>139</v>
      </c>
      <c r="E31" s="31" t="str">
        <f ca="1">IFERROR(IF(OFFSET(ref_tree_what!$A$1,MATCH(TRUE,ref_tree_what!$G:$G,0)-1,MATCH(ref_questions!$D31,ref_tree_what!$2:$2,0)-1)="x",TRUE,""),"")</f>
        <v/>
      </c>
      <c r="F31" s="30" t="s">
        <v>80</v>
      </c>
      <c r="G31" s="31">
        <f t="shared" si="0"/>
        <v>31</v>
      </c>
    </row>
    <row r="32" spans="1:7" x14ac:dyDescent="0.25">
      <c r="A32" s="31">
        <f ca="1">COUNTIFS($E$2:$E32,TRUE,$C$2:$C32,TRUE)</f>
        <v>6</v>
      </c>
      <c r="B32" s="33" t="str">
        <f t="shared" si="2"/>
        <v>Who31</v>
      </c>
      <c r="C32" s="31" t="str">
        <f ca="1">IFERROR(IF(OFFSET(ref_tree_who!$A$1,MATCH(TRUE,ref_tree_who!$G:$G,0)-1,MATCH(ref_questions!$B32,ref_tree_who!$2:$2,0)-1)="x",TRUE,""),"")</f>
        <v/>
      </c>
      <c r="D32" s="33" t="s">
        <v>137</v>
      </c>
      <c r="E32" s="31" t="b">
        <f ca="1">IFERROR(IF(OFFSET(ref_tree_what!$A$1,MATCH(TRUE,ref_tree_what!$G:$G,0)-1,MATCH(ref_questions!$D32,ref_tree_what!$2:$2,0)-1)="x",TRUE,""),"")</f>
        <v>1</v>
      </c>
      <c r="F32" s="30" t="s">
        <v>81</v>
      </c>
      <c r="G32" s="31">
        <f t="shared" si="0"/>
        <v>32</v>
      </c>
    </row>
    <row r="33" spans="1:7" x14ac:dyDescent="0.25">
      <c r="A33" s="31">
        <f ca="1">COUNTIFS($E$2:$E33,TRUE,$C$2:$C33,TRUE)</f>
        <v>6</v>
      </c>
      <c r="B33" s="33" t="str">
        <f t="shared" si="2"/>
        <v>Who32</v>
      </c>
      <c r="C33" s="31" t="str">
        <f ca="1">IFERROR(IF(OFFSET(ref_tree_who!$A$1,MATCH(TRUE,ref_tree_who!$G:$G,0)-1,MATCH(ref_questions!$B33,ref_tree_who!$2:$2,0)-1)="x",TRUE,""),"")</f>
        <v/>
      </c>
      <c r="D33" s="33" t="s">
        <v>137</v>
      </c>
      <c r="E33" s="31" t="b">
        <f ca="1">IFERROR(IF(OFFSET(ref_tree_what!$A$1,MATCH(TRUE,ref_tree_what!$G:$G,0)-1,MATCH(ref_questions!$D33,ref_tree_what!$2:$2,0)-1)="x",TRUE,""),"")</f>
        <v>1</v>
      </c>
      <c r="F33" s="30" t="s">
        <v>82</v>
      </c>
      <c r="G33" s="31">
        <f t="shared" si="0"/>
        <v>33</v>
      </c>
    </row>
    <row r="34" spans="1:7" x14ac:dyDescent="0.25">
      <c r="A34" s="31">
        <f ca="1">COUNTIFS($E$2:$E34,TRUE,$C$2:$C34,TRUE)</f>
        <v>6</v>
      </c>
      <c r="B34" s="33" t="str">
        <f t="shared" si="2"/>
        <v>Who33</v>
      </c>
      <c r="C34" s="31" t="str">
        <f ca="1">IFERROR(IF(OFFSET(ref_tree_who!$A$1,MATCH(TRUE,ref_tree_who!$G:$G,0)-1,MATCH(ref_questions!$B34,ref_tree_who!$2:$2,0)-1)="x",TRUE,""),"")</f>
        <v/>
      </c>
      <c r="D34" s="33" t="s">
        <v>137</v>
      </c>
      <c r="E34" s="31" t="b">
        <f ca="1">IFERROR(IF(OFFSET(ref_tree_what!$A$1,MATCH(TRUE,ref_tree_what!$G:$G,0)-1,MATCH(ref_questions!$D34,ref_tree_what!$2:$2,0)-1)="x",TRUE,""),"")</f>
        <v>1</v>
      </c>
      <c r="F34" s="30" t="s">
        <v>83</v>
      </c>
      <c r="G34" s="31">
        <f t="shared" si="0"/>
        <v>34</v>
      </c>
    </row>
    <row r="35" spans="1:7" x14ac:dyDescent="0.25">
      <c r="A35" s="31">
        <f ca="1">COUNTIFS($E$2:$E35,TRUE,$C$2:$C35,TRUE)</f>
        <v>6</v>
      </c>
      <c r="B35" s="33" t="str">
        <f t="shared" si="2"/>
        <v>Who34</v>
      </c>
      <c r="C35" s="31" t="str">
        <f ca="1">IFERROR(IF(OFFSET(ref_tree_who!$A$1,MATCH(TRUE,ref_tree_who!$G:$G,0)-1,MATCH(ref_questions!$B35,ref_tree_who!$2:$2,0)-1)="x",TRUE,""),"")</f>
        <v/>
      </c>
      <c r="D35" s="33" t="s">
        <v>138</v>
      </c>
      <c r="E35" s="31" t="b">
        <f ca="1">IFERROR(IF(OFFSET(ref_tree_what!$A$1,MATCH(TRUE,ref_tree_what!$G:$G,0)-1,MATCH(ref_questions!$D35,ref_tree_what!$2:$2,0)-1)="x",TRUE,""),"")</f>
        <v>1</v>
      </c>
      <c r="F35" s="30" t="s">
        <v>84</v>
      </c>
      <c r="G35" s="31">
        <f t="shared" si="0"/>
        <v>35</v>
      </c>
    </row>
    <row r="36" spans="1:7" x14ac:dyDescent="0.25">
      <c r="A36" s="31">
        <f ca="1">COUNTIFS($E$2:$E36,TRUE,$C$2:$C36,TRUE)</f>
        <v>6</v>
      </c>
      <c r="B36" s="33" t="str">
        <f t="shared" si="2"/>
        <v>Who35</v>
      </c>
      <c r="C36" s="31" t="str">
        <f ca="1">IFERROR(IF(OFFSET(ref_tree_who!$A$1,MATCH(TRUE,ref_tree_who!$G:$G,0)-1,MATCH(ref_questions!$B36,ref_tree_who!$2:$2,0)-1)="x",TRUE,""),"")</f>
        <v/>
      </c>
      <c r="D36" s="33" t="s">
        <v>138</v>
      </c>
      <c r="E36" s="31" t="b">
        <f ca="1">IFERROR(IF(OFFSET(ref_tree_what!$A$1,MATCH(TRUE,ref_tree_what!$G:$G,0)-1,MATCH(ref_questions!$D36,ref_tree_what!$2:$2,0)-1)="x",TRUE,""),"")</f>
        <v>1</v>
      </c>
      <c r="F36" s="30" t="s">
        <v>85</v>
      </c>
      <c r="G36" s="31">
        <f t="shared" si="0"/>
        <v>36</v>
      </c>
    </row>
    <row r="37" spans="1:7" x14ac:dyDescent="0.25">
      <c r="A37" s="31">
        <f ca="1">COUNTIFS($E$2:$E37,TRUE,$C$2:$C37,TRUE)</f>
        <v>6</v>
      </c>
      <c r="B37" s="33" t="str">
        <f t="shared" si="2"/>
        <v>Who36</v>
      </c>
      <c r="C37" s="31" t="str">
        <f ca="1">IFERROR(IF(OFFSET(ref_tree_who!$A$1,MATCH(TRUE,ref_tree_who!$G:$G,0)-1,MATCH(ref_questions!$B37,ref_tree_who!$2:$2,0)-1)="x",TRUE,""),"")</f>
        <v/>
      </c>
      <c r="D37" s="33" t="s">
        <v>138</v>
      </c>
      <c r="E37" s="31" t="b">
        <f ca="1">IFERROR(IF(OFFSET(ref_tree_what!$A$1,MATCH(TRUE,ref_tree_what!$G:$G,0)-1,MATCH(ref_questions!$D37,ref_tree_what!$2:$2,0)-1)="x",TRUE,""),"")</f>
        <v>1</v>
      </c>
      <c r="F37" s="30" t="s">
        <v>86</v>
      </c>
      <c r="G37" s="31">
        <f t="shared" si="0"/>
        <v>37</v>
      </c>
    </row>
    <row r="38" spans="1:7" x14ac:dyDescent="0.25">
      <c r="A38" s="31">
        <f ca="1">COUNTIFS($E$2:$E38,TRUE,$C$2:$C38,TRUE)</f>
        <v>6</v>
      </c>
      <c r="B38" s="33" t="str">
        <f t="shared" si="2"/>
        <v>Who37</v>
      </c>
      <c r="C38" s="31" t="str">
        <f ca="1">IFERROR(IF(OFFSET(ref_tree_who!$A$1,MATCH(TRUE,ref_tree_who!$G:$G,0)-1,MATCH(ref_questions!$B38,ref_tree_who!$2:$2,0)-1)="x",TRUE,""),"")</f>
        <v/>
      </c>
      <c r="D38" s="33" t="s">
        <v>139</v>
      </c>
      <c r="E38" s="31" t="str">
        <f ca="1">IFERROR(IF(OFFSET(ref_tree_what!$A$1,MATCH(TRUE,ref_tree_what!$G:$G,0)-1,MATCH(ref_questions!$D38,ref_tree_what!$2:$2,0)-1)="x",TRUE,""),"")</f>
        <v/>
      </c>
      <c r="F38" s="30" t="s">
        <v>87</v>
      </c>
      <c r="G38" s="31">
        <f t="shared" si="0"/>
        <v>38</v>
      </c>
    </row>
    <row r="39" spans="1:7" x14ac:dyDescent="0.25">
      <c r="A39" s="31">
        <f ca="1">COUNTIFS($E$2:$E39,TRUE,$C$2:$C39,TRUE)</f>
        <v>6</v>
      </c>
      <c r="B39" s="33" t="str">
        <f t="shared" si="2"/>
        <v>Who38</v>
      </c>
      <c r="C39" s="31" t="str">
        <f ca="1">IFERROR(IF(OFFSET(ref_tree_who!$A$1,MATCH(TRUE,ref_tree_who!$G:$G,0)-1,MATCH(ref_questions!$B39,ref_tree_who!$2:$2,0)-1)="x",TRUE,""),"")</f>
        <v/>
      </c>
      <c r="D39" s="33" t="s">
        <v>139</v>
      </c>
      <c r="E39" s="31" t="str">
        <f ca="1">IFERROR(IF(OFFSET(ref_tree_what!$A$1,MATCH(TRUE,ref_tree_what!$G:$G,0)-1,MATCH(ref_questions!$D39,ref_tree_what!$2:$2,0)-1)="x",TRUE,""),"")</f>
        <v/>
      </c>
      <c r="F39" s="30" t="s">
        <v>88</v>
      </c>
      <c r="G39" s="31">
        <f t="shared" si="0"/>
        <v>39</v>
      </c>
    </row>
    <row r="40" spans="1:7" x14ac:dyDescent="0.25">
      <c r="A40" s="31">
        <f ca="1">COUNTIFS($E$2:$E40,TRUE,$C$2:$C40,TRUE)</f>
        <v>6</v>
      </c>
      <c r="B40" s="33" t="str">
        <f t="shared" si="2"/>
        <v>Who39</v>
      </c>
      <c r="C40" s="31" t="str">
        <f ca="1">IFERROR(IF(OFFSET(ref_tree_who!$A$1,MATCH(TRUE,ref_tree_who!$G:$G,0)-1,MATCH(ref_questions!$B40,ref_tree_who!$2:$2,0)-1)="x",TRUE,""),"")</f>
        <v/>
      </c>
      <c r="D40" s="33" t="s">
        <v>139</v>
      </c>
      <c r="E40" s="31" t="str">
        <f ca="1">IFERROR(IF(OFFSET(ref_tree_what!$A$1,MATCH(TRUE,ref_tree_what!$G:$G,0)-1,MATCH(ref_questions!$D40,ref_tree_what!$2:$2,0)-1)="x",TRUE,""),"")</f>
        <v/>
      </c>
      <c r="F40" s="30" t="s">
        <v>89</v>
      </c>
      <c r="G40" s="31">
        <f t="shared" si="0"/>
        <v>40</v>
      </c>
    </row>
    <row r="41" spans="1:7" x14ac:dyDescent="0.25">
      <c r="A41" s="31">
        <f ca="1">COUNTIFS($E$2:$E41,TRUE,$C$2:$C41,TRUE)</f>
        <v>6</v>
      </c>
      <c r="B41" s="33" t="str">
        <f t="shared" si="2"/>
        <v>Who40</v>
      </c>
      <c r="C41" s="31" t="str">
        <f ca="1">IFERROR(IF(OFFSET(ref_tree_who!$A$1,MATCH(TRUE,ref_tree_who!$G:$G,0)-1,MATCH(ref_questions!$B41,ref_tree_who!$2:$2,0)-1)="x",TRUE,""),"")</f>
        <v/>
      </c>
      <c r="D41" s="33" t="s">
        <v>140</v>
      </c>
      <c r="E41" s="31" t="str">
        <f ca="1">IFERROR(IF(OFFSET(ref_tree_what!$A$1,MATCH(TRUE,ref_tree_what!$G:$G,0)-1,MATCH(ref_questions!$D41,ref_tree_what!$2:$2,0)-1)="x",TRUE,""),"")</f>
        <v/>
      </c>
      <c r="F41" s="30" t="s">
        <v>90</v>
      </c>
      <c r="G41" s="31">
        <f t="shared" si="0"/>
        <v>41</v>
      </c>
    </row>
    <row r="42" spans="1:7" x14ac:dyDescent="0.25">
      <c r="A42" s="31">
        <f ca="1">COUNTIFS($E$2:$E42,TRUE,$C$2:$C42,TRUE)</f>
        <v>6</v>
      </c>
      <c r="B42" s="33" t="str">
        <f t="shared" si="2"/>
        <v>Who41</v>
      </c>
      <c r="C42" s="31" t="str">
        <f ca="1">IFERROR(IF(OFFSET(ref_tree_who!$A$1,MATCH(TRUE,ref_tree_who!$G:$G,0)-1,MATCH(ref_questions!$B42,ref_tree_who!$2:$2,0)-1)="x",TRUE,""),"")</f>
        <v/>
      </c>
      <c r="D42" s="33" t="s">
        <v>140</v>
      </c>
      <c r="E42" s="31" t="str">
        <f ca="1">IFERROR(IF(OFFSET(ref_tree_what!$A$1,MATCH(TRUE,ref_tree_what!$G:$G,0)-1,MATCH(ref_questions!$D42,ref_tree_what!$2:$2,0)-1)="x",TRUE,""),"")</f>
        <v/>
      </c>
      <c r="F42" s="30" t="s">
        <v>91</v>
      </c>
      <c r="G42" s="31">
        <f t="shared" si="0"/>
        <v>42</v>
      </c>
    </row>
    <row r="43" spans="1:7" x14ac:dyDescent="0.25">
      <c r="A43" s="31">
        <f ca="1">COUNTIFS($E$2:$E43,TRUE,$C$2:$C43,TRUE)</f>
        <v>6</v>
      </c>
      <c r="B43" s="33" t="str">
        <f t="shared" si="2"/>
        <v>Who42</v>
      </c>
      <c r="C43" s="31" t="str">
        <f ca="1">IFERROR(IF(OFFSET(ref_tree_who!$A$1,MATCH(TRUE,ref_tree_who!$G:$G,0)-1,MATCH(ref_questions!$B43,ref_tree_who!$2:$2,0)-1)="x",TRUE,""),"")</f>
        <v/>
      </c>
      <c r="D43" s="33" t="s">
        <v>140</v>
      </c>
      <c r="E43" s="31" t="str">
        <f ca="1">IFERROR(IF(OFFSET(ref_tree_what!$A$1,MATCH(TRUE,ref_tree_what!$G:$G,0)-1,MATCH(ref_questions!$D43,ref_tree_what!$2:$2,0)-1)="x",TRUE,""),"")</f>
        <v/>
      </c>
      <c r="F43" s="30" t="s">
        <v>92</v>
      </c>
      <c r="G43" s="31">
        <f t="shared" si="0"/>
        <v>43</v>
      </c>
    </row>
    <row r="44" spans="1:7" x14ac:dyDescent="0.25">
      <c r="A44" s="31">
        <f ca="1">COUNTIFS($E$2:$E44,TRUE,$C$2:$C44,TRUE)</f>
        <v>6</v>
      </c>
      <c r="B44" s="33" t="str">
        <f t="shared" si="2"/>
        <v>Who43</v>
      </c>
      <c r="C44" s="31" t="str">
        <f ca="1">IFERROR(IF(OFFSET(ref_tree_who!$A$1,MATCH(TRUE,ref_tree_who!$G:$G,0)-1,MATCH(ref_questions!$B44,ref_tree_who!$2:$2,0)-1)="x",TRUE,""),"")</f>
        <v/>
      </c>
      <c r="D44" s="33" t="s">
        <v>141</v>
      </c>
      <c r="E44" s="31" t="str">
        <f ca="1">IFERROR(IF(OFFSET(ref_tree_what!$A$1,MATCH(TRUE,ref_tree_what!$G:$G,0)-1,MATCH(ref_questions!$D44,ref_tree_what!$2:$2,0)-1)="x",TRUE,""),"")</f>
        <v/>
      </c>
      <c r="F44" s="30" t="s">
        <v>93</v>
      </c>
      <c r="G44" s="31">
        <f t="shared" si="0"/>
        <v>44</v>
      </c>
    </row>
    <row r="45" spans="1:7" x14ac:dyDescent="0.25">
      <c r="A45" s="31">
        <f ca="1">COUNTIFS($E$2:$E45,TRUE,$C$2:$C45,TRUE)</f>
        <v>6</v>
      </c>
      <c r="B45" s="33" t="str">
        <f t="shared" si="2"/>
        <v>Who44</v>
      </c>
      <c r="C45" s="31" t="str">
        <f ca="1">IFERROR(IF(OFFSET(ref_tree_who!$A$1,MATCH(TRUE,ref_tree_who!$G:$G,0)-1,MATCH(ref_questions!$B45,ref_tree_who!$2:$2,0)-1)="x",TRUE,""),"")</f>
        <v/>
      </c>
      <c r="D45" s="33" t="s">
        <v>141</v>
      </c>
      <c r="E45" s="31" t="str">
        <f ca="1">IFERROR(IF(OFFSET(ref_tree_what!$A$1,MATCH(TRUE,ref_tree_what!$G:$G,0)-1,MATCH(ref_questions!$D45,ref_tree_what!$2:$2,0)-1)="x",TRUE,""),"")</f>
        <v/>
      </c>
      <c r="F45" s="30" t="s">
        <v>94</v>
      </c>
      <c r="G45" s="31">
        <f t="shared" si="0"/>
        <v>45</v>
      </c>
    </row>
    <row r="46" spans="1:7" x14ac:dyDescent="0.25">
      <c r="A46" s="31">
        <f ca="1">COUNTIFS($E$2:$E46,TRUE,$C$2:$C46,TRUE)</f>
        <v>6</v>
      </c>
      <c r="B46" s="33" t="str">
        <f t="shared" si="2"/>
        <v>Who45</v>
      </c>
      <c r="C46" s="31" t="str">
        <f ca="1">IFERROR(IF(OFFSET(ref_tree_who!$A$1,MATCH(TRUE,ref_tree_who!$G:$G,0)-1,MATCH(ref_questions!$B46,ref_tree_who!$2:$2,0)-1)="x",TRUE,""),"")</f>
        <v/>
      </c>
      <c r="D46" s="33" t="s">
        <v>141</v>
      </c>
      <c r="E46" s="31" t="str">
        <f ca="1">IFERROR(IF(OFFSET(ref_tree_what!$A$1,MATCH(TRUE,ref_tree_what!$G:$G,0)-1,MATCH(ref_questions!$D46,ref_tree_what!$2:$2,0)-1)="x",TRUE,""),"")</f>
        <v/>
      </c>
      <c r="F46" s="30" t="s">
        <v>95</v>
      </c>
      <c r="G46" s="31">
        <f t="shared" si="0"/>
        <v>46</v>
      </c>
    </row>
    <row r="47" spans="1:7" x14ac:dyDescent="0.25">
      <c r="A47" s="31">
        <f ca="1">COUNTIFS($E$2:$E47,TRUE,$C$2:$C47,TRUE)</f>
        <v>6</v>
      </c>
      <c r="B47" s="33" t="str">
        <f t="shared" si="2"/>
        <v>Who46</v>
      </c>
      <c r="C47" s="31" t="str">
        <f ca="1">IFERROR(IF(OFFSET(ref_tree_who!$A$1,MATCH(TRUE,ref_tree_who!$G:$G,0)-1,MATCH(ref_questions!$B47,ref_tree_who!$2:$2,0)-1)="x",TRUE,""),"")</f>
        <v/>
      </c>
      <c r="D47" s="33" t="s">
        <v>137</v>
      </c>
      <c r="E47" s="31" t="b">
        <f ca="1">IFERROR(IF(OFFSET(ref_tree_what!$A$1,MATCH(TRUE,ref_tree_what!$G:$G,0)-1,MATCH(ref_questions!$D47,ref_tree_what!$2:$2,0)-1)="x",TRUE,""),"")</f>
        <v>1</v>
      </c>
      <c r="F47" s="30" t="s">
        <v>96</v>
      </c>
      <c r="G47" s="31">
        <f t="shared" si="0"/>
        <v>47</v>
      </c>
    </row>
    <row r="48" spans="1:7" x14ac:dyDescent="0.25">
      <c r="A48" s="31">
        <f ca="1">COUNTIFS($E$2:$E48,TRUE,$C$2:$C48,TRUE)</f>
        <v>6</v>
      </c>
      <c r="B48" s="33" t="str">
        <f t="shared" si="2"/>
        <v>Who47</v>
      </c>
      <c r="C48" s="31" t="str">
        <f ca="1">IFERROR(IF(OFFSET(ref_tree_who!$A$1,MATCH(TRUE,ref_tree_who!$G:$G,0)-1,MATCH(ref_questions!$B48,ref_tree_who!$2:$2,0)-1)="x",TRUE,""),"")</f>
        <v/>
      </c>
      <c r="D48" s="33" t="s">
        <v>137</v>
      </c>
      <c r="E48" s="31" t="b">
        <f ca="1">IFERROR(IF(OFFSET(ref_tree_what!$A$1,MATCH(TRUE,ref_tree_what!$G:$G,0)-1,MATCH(ref_questions!$D48,ref_tree_what!$2:$2,0)-1)="x",TRUE,""),"")</f>
        <v>1</v>
      </c>
      <c r="F48" s="30" t="s">
        <v>97</v>
      </c>
      <c r="G48" s="31">
        <f t="shared" si="0"/>
        <v>48</v>
      </c>
    </row>
    <row r="49" spans="1:7" x14ac:dyDescent="0.25">
      <c r="A49" s="31">
        <f ca="1">COUNTIFS($E$2:$E49,TRUE,$C$2:$C49,TRUE)</f>
        <v>6</v>
      </c>
      <c r="B49" s="33" t="str">
        <f t="shared" si="2"/>
        <v>Who48</v>
      </c>
      <c r="C49" s="31" t="str">
        <f ca="1">IFERROR(IF(OFFSET(ref_tree_who!$A$1,MATCH(TRUE,ref_tree_who!$G:$G,0)-1,MATCH(ref_questions!$B49,ref_tree_who!$2:$2,0)-1)="x",TRUE,""),"")</f>
        <v/>
      </c>
      <c r="D49" s="33" t="s">
        <v>137</v>
      </c>
      <c r="E49" s="31" t="b">
        <f ca="1">IFERROR(IF(OFFSET(ref_tree_what!$A$1,MATCH(TRUE,ref_tree_what!$G:$G,0)-1,MATCH(ref_questions!$D49,ref_tree_what!$2:$2,0)-1)="x",TRUE,""),"")</f>
        <v>1</v>
      </c>
      <c r="F49" s="30" t="s">
        <v>98</v>
      </c>
      <c r="G49" s="31">
        <f t="shared" si="0"/>
        <v>49</v>
      </c>
    </row>
    <row r="50" spans="1:7" ht="30" x14ac:dyDescent="0.25">
      <c r="A50" s="31">
        <f ca="1">COUNTIFS($E$2:$E50,TRUE,$C$2:$C50,TRUE)</f>
        <v>6</v>
      </c>
      <c r="B50" s="33" t="str">
        <f t="shared" si="2"/>
        <v>Who49</v>
      </c>
      <c r="C50" s="31" t="str">
        <f ca="1">IFERROR(IF(OFFSET(ref_tree_who!$A$1,MATCH(TRUE,ref_tree_who!$G:$G,0)-1,MATCH(ref_questions!$B50,ref_tree_who!$2:$2,0)-1)="x",TRUE,""),"")</f>
        <v/>
      </c>
      <c r="D50" s="33" t="s">
        <v>142</v>
      </c>
      <c r="E50" s="31" t="str">
        <f ca="1">IFERROR(IF(OFFSET(ref_tree_what!$A$1,MATCH(TRUE,ref_tree_what!$G:$G,0)-1,MATCH(ref_questions!$D50,ref_tree_what!$2:$2,0)-1)="x",TRUE,""),"")</f>
        <v/>
      </c>
      <c r="F50" s="30" t="s">
        <v>99</v>
      </c>
      <c r="G50" s="31">
        <f t="shared" si="0"/>
        <v>50</v>
      </c>
    </row>
    <row r="51" spans="1:7" ht="30" x14ac:dyDescent="0.25">
      <c r="A51" s="31">
        <f ca="1">COUNTIFS($E$2:$E51,TRUE,$C$2:$C51,TRUE)</f>
        <v>6</v>
      </c>
      <c r="B51" s="33" t="str">
        <f t="shared" si="2"/>
        <v>Who50</v>
      </c>
      <c r="C51" s="31" t="str">
        <f ca="1">IFERROR(IF(OFFSET(ref_tree_who!$A$1,MATCH(TRUE,ref_tree_who!$G:$G,0)-1,MATCH(ref_questions!$B51,ref_tree_who!$2:$2,0)-1)="x",TRUE,""),"")</f>
        <v/>
      </c>
      <c r="D51" s="33" t="s">
        <v>142</v>
      </c>
      <c r="E51" s="31" t="str">
        <f ca="1">IFERROR(IF(OFFSET(ref_tree_what!$A$1,MATCH(TRUE,ref_tree_what!$G:$G,0)-1,MATCH(ref_questions!$D51,ref_tree_what!$2:$2,0)-1)="x",TRUE,""),"")</f>
        <v/>
      </c>
      <c r="F51" s="30" t="s">
        <v>100</v>
      </c>
      <c r="G51" s="31">
        <f t="shared" si="0"/>
        <v>51</v>
      </c>
    </row>
    <row r="52" spans="1:7" ht="30" x14ac:dyDescent="0.25">
      <c r="A52" s="31">
        <f ca="1">COUNTIFS($E$2:$E52,TRUE,$C$2:$C52,TRUE)</f>
        <v>6</v>
      </c>
      <c r="B52" s="33" t="str">
        <f t="shared" si="2"/>
        <v>Who51</v>
      </c>
      <c r="C52" s="31" t="str">
        <f ca="1">IFERROR(IF(OFFSET(ref_tree_who!$A$1,MATCH(TRUE,ref_tree_who!$G:$G,0)-1,MATCH(ref_questions!$B52,ref_tree_who!$2:$2,0)-1)="x",TRUE,""),"")</f>
        <v/>
      </c>
      <c r="D52" s="33" t="s">
        <v>142</v>
      </c>
      <c r="E52" s="31" t="str">
        <f ca="1">IFERROR(IF(OFFSET(ref_tree_what!$A$1,MATCH(TRUE,ref_tree_what!$G:$G,0)-1,MATCH(ref_questions!$D52,ref_tree_what!$2:$2,0)-1)="x",TRUE,""),"")</f>
        <v/>
      </c>
      <c r="F52" s="30" t="s">
        <v>101</v>
      </c>
      <c r="G52" s="31">
        <f t="shared" si="0"/>
        <v>52</v>
      </c>
    </row>
    <row r="53" spans="1:7" ht="30" x14ac:dyDescent="0.25">
      <c r="A53" s="31">
        <f ca="1">COUNTIFS($E$2:$E53,TRUE,$C$2:$C53,TRUE)</f>
        <v>6</v>
      </c>
      <c r="B53" s="33" t="str">
        <f t="shared" si="2"/>
        <v>Who52</v>
      </c>
      <c r="C53" s="31" t="str">
        <f ca="1">IFERROR(IF(OFFSET(ref_tree_who!$A$1,MATCH(TRUE,ref_tree_who!$G:$G,0)-1,MATCH(ref_questions!$B53,ref_tree_who!$2:$2,0)-1)="x",TRUE,""),"")</f>
        <v/>
      </c>
      <c r="D53" s="33" t="s">
        <v>138</v>
      </c>
      <c r="E53" s="31" t="b">
        <f ca="1">IFERROR(IF(OFFSET(ref_tree_what!$A$1,MATCH(TRUE,ref_tree_what!$G:$G,0)-1,MATCH(ref_questions!$D53,ref_tree_what!$2:$2,0)-1)="x",TRUE,""),"")</f>
        <v>1</v>
      </c>
      <c r="F53" s="30" t="s">
        <v>102</v>
      </c>
      <c r="G53" s="31">
        <f t="shared" si="0"/>
        <v>53</v>
      </c>
    </row>
    <row r="54" spans="1:7" x14ac:dyDescent="0.25">
      <c r="A54" s="31">
        <f ca="1">COUNTIFS($E$2:$E54,TRUE,$C$2:$C54,TRUE)</f>
        <v>6</v>
      </c>
      <c r="B54" s="33" t="str">
        <f t="shared" si="2"/>
        <v>Who53</v>
      </c>
      <c r="C54" s="31" t="str">
        <f ca="1">IFERROR(IF(OFFSET(ref_tree_who!$A$1,MATCH(TRUE,ref_tree_who!$G:$G,0)-1,MATCH(ref_questions!$B54,ref_tree_who!$2:$2,0)-1)="x",TRUE,""),"")</f>
        <v/>
      </c>
      <c r="D54" s="33" t="s">
        <v>138</v>
      </c>
      <c r="E54" s="31" t="b">
        <f ca="1">IFERROR(IF(OFFSET(ref_tree_what!$A$1,MATCH(TRUE,ref_tree_what!$G:$G,0)-1,MATCH(ref_questions!$D54,ref_tree_what!$2:$2,0)-1)="x",TRUE,""),"")</f>
        <v>1</v>
      </c>
      <c r="F54" s="30" t="s">
        <v>103</v>
      </c>
      <c r="G54" s="31">
        <f t="shared" si="0"/>
        <v>54</v>
      </c>
    </row>
    <row r="55" spans="1:7" x14ac:dyDescent="0.25">
      <c r="A55" s="31">
        <f ca="1">COUNTIFS($E$2:$E55,TRUE,$C$2:$C55,TRUE)</f>
        <v>6</v>
      </c>
      <c r="B55" s="33" t="str">
        <f t="shared" si="2"/>
        <v>Who54</v>
      </c>
      <c r="C55" s="31" t="str">
        <f ca="1">IFERROR(IF(OFFSET(ref_tree_who!$A$1,MATCH(TRUE,ref_tree_who!$G:$G,0)-1,MATCH(ref_questions!$B55,ref_tree_who!$2:$2,0)-1)="x",TRUE,""),"")</f>
        <v/>
      </c>
      <c r="D55" s="33" t="s">
        <v>138</v>
      </c>
      <c r="E55" s="31" t="b">
        <f ca="1">IFERROR(IF(OFFSET(ref_tree_what!$A$1,MATCH(TRUE,ref_tree_what!$G:$G,0)-1,MATCH(ref_questions!$D55,ref_tree_what!$2:$2,0)-1)="x",TRUE,""),"")</f>
        <v>1</v>
      </c>
      <c r="F55" s="30" t="s">
        <v>104</v>
      </c>
      <c r="G55" s="31">
        <f t="shared" si="0"/>
        <v>55</v>
      </c>
    </row>
    <row r="56" spans="1:7" x14ac:dyDescent="0.25">
      <c r="A56" s="31">
        <f ca="1">COUNTIFS($E$2:$E56,TRUE,$C$2:$C56,TRUE)</f>
        <v>6</v>
      </c>
      <c r="B56" s="33" t="str">
        <f t="shared" si="2"/>
        <v>Who55</v>
      </c>
      <c r="C56" s="31" t="str">
        <f ca="1">IFERROR(IF(OFFSET(ref_tree_who!$A$1,MATCH(TRUE,ref_tree_who!$G:$G,0)-1,MATCH(ref_questions!$B56,ref_tree_who!$2:$2,0)-1)="x",TRUE,""),"")</f>
        <v/>
      </c>
      <c r="D56" s="33" t="s">
        <v>139</v>
      </c>
      <c r="E56" s="31" t="str">
        <f ca="1">IFERROR(IF(OFFSET(ref_tree_what!$A$1,MATCH(TRUE,ref_tree_what!$G:$G,0)-1,MATCH(ref_questions!$D56,ref_tree_what!$2:$2,0)-1)="x",TRUE,""),"")</f>
        <v/>
      </c>
      <c r="F56" s="30" t="s">
        <v>105</v>
      </c>
      <c r="G56" s="31">
        <f t="shared" si="0"/>
        <v>56</v>
      </c>
    </row>
    <row r="57" spans="1:7" x14ac:dyDescent="0.25">
      <c r="A57" s="31">
        <f ca="1">COUNTIFS($E$2:$E57,TRUE,$C$2:$C57,TRUE)</f>
        <v>6</v>
      </c>
      <c r="B57" s="33" t="str">
        <f t="shared" si="2"/>
        <v>Who56</v>
      </c>
      <c r="C57" s="31" t="str">
        <f ca="1">IFERROR(IF(OFFSET(ref_tree_who!$A$1,MATCH(TRUE,ref_tree_who!$G:$G,0)-1,MATCH(ref_questions!$B57,ref_tree_who!$2:$2,0)-1)="x",TRUE,""),"")</f>
        <v/>
      </c>
      <c r="D57" s="33" t="s">
        <v>139</v>
      </c>
      <c r="E57" s="31" t="str">
        <f ca="1">IFERROR(IF(OFFSET(ref_tree_what!$A$1,MATCH(TRUE,ref_tree_what!$G:$G,0)-1,MATCH(ref_questions!$D57,ref_tree_what!$2:$2,0)-1)="x",TRUE,""),"")</f>
        <v/>
      </c>
      <c r="F57" s="30" t="s">
        <v>106</v>
      </c>
      <c r="G57" s="31">
        <f t="shared" si="0"/>
        <v>57</v>
      </c>
    </row>
    <row r="58" spans="1:7" x14ac:dyDescent="0.25">
      <c r="A58" s="31">
        <f ca="1">COUNTIFS($E$2:$E58,TRUE,$C$2:$C58,TRUE)</f>
        <v>6</v>
      </c>
      <c r="B58" s="33" t="str">
        <f t="shared" si="2"/>
        <v>Who57</v>
      </c>
      <c r="C58" s="31" t="str">
        <f ca="1">IFERROR(IF(OFFSET(ref_tree_who!$A$1,MATCH(TRUE,ref_tree_who!$G:$G,0)-1,MATCH(ref_questions!$B58,ref_tree_who!$2:$2,0)-1)="x",TRUE,""),"")</f>
        <v/>
      </c>
      <c r="D58" s="33" t="s">
        <v>139</v>
      </c>
      <c r="E58" s="31" t="str">
        <f ca="1">IFERROR(IF(OFFSET(ref_tree_what!$A$1,MATCH(TRUE,ref_tree_what!$G:$G,0)-1,MATCH(ref_questions!$D58,ref_tree_what!$2:$2,0)-1)="x",TRUE,""),"")</f>
        <v/>
      </c>
      <c r="F58" s="30" t="s">
        <v>107</v>
      </c>
      <c r="G58" s="31">
        <f t="shared" si="0"/>
        <v>58</v>
      </c>
    </row>
    <row r="59" spans="1:7" x14ac:dyDescent="0.25">
      <c r="A59" s="31">
        <f ca="1">COUNTIFS($E$2:$E59,TRUE,$C$2:$C59,TRUE)</f>
        <v>6</v>
      </c>
      <c r="B59" s="33" t="str">
        <f t="shared" si="2"/>
        <v>Who58</v>
      </c>
      <c r="C59" s="31" t="str">
        <f ca="1">IFERROR(IF(OFFSET(ref_tree_who!$A$1,MATCH(TRUE,ref_tree_who!$G:$G,0)-1,MATCH(ref_questions!$B59,ref_tree_who!$2:$2,0)-1)="x",TRUE,""),"")</f>
        <v/>
      </c>
      <c r="D59" s="33" t="s">
        <v>140</v>
      </c>
      <c r="E59" s="31" t="str">
        <f ca="1">IFERROR(IF(OFFSET(ref_tree_what!$A$1,MATCH(TRUE,ref_tree_what!$G:$G,0)-1,MATCH(ref_questions!$D59,ref_tree_what!$2:$2,0)-1)="x",TRUE,""),"")</f>
        <v/>
      </c>
      <c r="F59" s="30" t="s">
        <v>108</v>
      </c>
      <c r="G59" s="31">
        <f t="shared" si="0"/>
        <v>59</v>
      </c>
    </row>
    <row r="60" spans="1:7" x14ac:dyDescent="0.25">
      <c r="A60" s="31">
        <f ca="1">COUNTIFS($E$2:$E60,TRUE,$C$2:$C60,TRUE)</f>
        <v>6</v>
      </c>
      <c r="B60" s="33" t="str">
        <f t="shared" si="2"/>
        <v>Who59</v>
      </c>
      <c r="C60" s="31" t="str">
        <f ca="1">IFERROR(IF(OFFSET(ref_tree_who!$A$1,MATCH(TRUE,ref_tree_who!$G:$G,0)-1,MATCH(ref_questions!$B60,ref_tree_who!$2:$2,0)-1)="x",TRUE,""),"")</f>
        <v/>
      </c>
      <c r="D60" s="33" t="s">
        <v>140</v>
      </c>
      <c r="E60" s="31" t="str">
        <f ca="1">IFERROR(IF(OFFSET(ref_tree_what!$A$1,MATCH(TRUE,ref_tree_what!$G:$G,0)-1,MATCH(ref_questions!$D60,ref_tree_what!$2:$2,0)-1)="x",TRUE,""),"")</f>
        <v/>
      </c>
      <c r="F60" s="30" t="s">
        <v>109</v>
      </c>
      <c r="G60" s="31">
        <f t="shared" si="0"/>
        <v>60</v>
      </c>
    </row>
    <row r="61" spans="1:7" x14ac:dyDescent="0.25">
      <c r="A61" s="31">
        <f ca="1">COUNTIFS($E$2:$E61,TRUE,$C$2:$C61,TRUE)</f>
        <v>6</v>
      </c>
      <c r="B61" s="33" t="str">
        <f t="shared" si="2"/>
        <v>Who60</v>
      </c>
      <c r="C61" s="31" t="str">
        <f ca="1">IFERROR(IF(OFFSET(ref_tree_who!$A$1,MATCH(TRUE,ref_tree_who!$G:$G,0)-1,MATCH(ref_questions!$B61,ref_tree_who!$2:$2,0)-1)="x",TRUE,""),"")</f>
        <v/>
      </c>
      <c r="D61" s="33" t="s">
        <v>140</v>
      </c>
      <c r="E61" s="31" t="str">
        <f ca="1">IFERROR(IF(OFFSET(ref_tree_what!$A$1,MATCH(TRUE,ref_tree_what!$G:$G,0)-1,MATCH(ref_questions!$D61,ref_tree_what!$2:$2,0)-1)="x",TRUE,""),"")</f>
        <v/>
      </c>
      <c r="F61" s="30" t="s">
        <v>110</v>
      </c>
      <c r="G61" s="31">
        <f t="shared" si="0"/>
        <v>61</v>
      </c>
    </row>
    <row r="62" spans="1:7" x14ac:dyDescent="0.25">
      <c r="A62" s="31">
        <f ca="1">COUNTIFS($E$2:$E62,TRUE,$C$2:$C62,TRUE)</f>
        <v>6</v>
      </c>
      <c r="B62" s="33" t="str">
        <f t="shared" si="2"/>
        <v>Who61</v>
      </c>
      <c r="C62" s="31" t="str">
        <f ca="1">IFERROR(IF(OFFSET(ref_tree_who!$A$1,MATCH(TRUE,ref_tree_who!$G:$G,0)-1,MATCH(ref_questions!$B62,ref_tree_who!$2:$2,0)-1)="x",TRUE,""),"")</f>
        <v/>
      </c>
      <c r="D62" s="33" t="s">
        <v>141</v>
      </c>
      <c r="E62" s="31" t="str">
        <f ca="1">IFERROR(IF(OFFSET(ref_tree_what!$A$1,MATCH(TRUE,ref_tree_what!$G:$G,0)-1,MATCH(ref_questions!$D62,ref_tree_what!$2:$2,0)-1)="x",TRUE,""),"")</f>
        <v/>
      </c>
      <c r="F62" s="30" t="s">
        <v>111</v>
      </c>
      <c r="G62" s="31">
        <f t="shared" si="0"/>
        <v>62</v>
      </c>
    </row>
    <row r="63" spans="1:7" x14ac:dyDescent="0.25">
      <c r="A63" s="31">
        <f ca="1">COUNTIFS($E$2:$E63,TRUE,$C$2:$C63,TRUE)</f>
        <v>6</v>
      </c>
      <c r="B63" s="33" t="str">
        <f t="shared" si="2"/>
        <v>Who62</v>
      </c>
      <c r="C63" s="31" t="str">
        <f ca="1">IFERROR(IF(OFFSET(ref_tree_who!$A$1,MATCH(TRUE,ref_tree_who!$G:$G,0)-1,MATCH(ref_questions!$B63,ref_tree_who!$2:$2,0)-1)="x",TRUE,""),"")</f>
        <v/>
      </c>
      <c r="D63" s="33" t="s">
        <v>141</v>
      </c>
      <c r="E63" s="31" t="str">
        <f ca="1">IFERROR(IF(OFFSET(ref_tree_what!$A$1,MATCH(TRUE,ref_tree_what!$G:$G,0)-1,MATCH(ref_questions!$D63,ref_tree_what!$2:$2,0)-1)="x",TRUE,""),"")</f>
        <v/>
      </c>
      <c r="F63" s="30" t="s">
        <v>112</v>
      </c>
      <c r="G63" s="31">
        <f t="shared" si="0"/>
        <v>63</v>
      </c>
    </row>
    <row r="64" spans="1:7" x14ac:dyDescent="0.25">
      <c r="A64" s="31">
        <f ca="1">COUNTIFS($E$2:$E64,TRUE,$C$2:$C64,TRUE)</f>
        <v>6</v>
      </c>
      <c r="B64" s="33" t="str">
        <f t="shared" si="2"/>
        <v>Who63</v>
      </c>
      <c r="C64" s="31" t="str">
        <f ca="1">IFERROR(IF(OFFSET(ref_tree_who!$A$1,MATCH(TRUE,ref_tree_who!$G:$G,0)-1,MATCH(ref_questions!$B64,ref_tree_who!$2:$2,0)-1)="x",TRUE,""),"")</f>
        <v/>
      </c>
      <c r="D64" s="33" t="s">
        <v>141</v>
      </c>
      <c r="E64" s="31" t="str">
        <f ca="1">IFERROR(IF(OFFSET(ref_tree_what!$A$1,MATCH(TRUE,ref_tree_what!$G:$G,0)-1,MATCH(ref_questions!$D64,ref_tree_what!$2:$2,0)-1)="x",TRUE,""),"")</f>
        <v/>
      </c>
      <c r="F64" s="30" t="s">
        <v>113</v>
      </c>
      <c r="G64" s="31">
        <f t="shared" si="0"/>
        <v>64</v>
      </c>
    </row>
    <row r="65" spans="1:7" x14ac:dyDescent="0.25">
      <c r="A65" s="31">
        <f ca="1">COUNTIFS($E$2:$E65,TRUE,$C$2:$C65,TRUE)</f>
        <v>6</v>
      </c>
      <c r="B65" s="33" t="str">
        <f t="shared" si="2"/>
        <v>Who64</v>
      </c>
      <c r="C65" s="31" t="str">
        <f ca="1">IFERROR(IF(OFFSET(ref_tree_who!$A$1,MATCH(TRUE,ref_tree_who!$G:$G,0)-1,MATCH(ref_questions!$B65,ref_tree_who!$2:$2,0)-1)="x",TRUE,""),"")</f>
        <v/>
      </c>
      <c r="D65" s="33" t="s">
        <v>143</v>
      </c>
      <c r="E65" s="31" t="str">
        <f ca="1">IFERROR(IF(OFFSET(ref_tree_what!$A$1,MATCH(TRUE,ref_tree_what!$G:$G,0)-1,MATCH(ref_questions!$D65,ref_tree_what!$2:$2,0)-1)="x",TRUE,""),"")</f>
        <v/>
      </c>
      <c r="F65" s="30" t="s">
        <v>114</v>
      </c>
      <c r="G65" s="31">
        <f t="shared" si="0"/>
        <v>65</v>
      </c>
    </row>
    <row r="66" spans="1:7" x14ac:dyDescent="0.25">
      <c r="A66" s="31">
        <f ca="1">COUNTIFS($E$2:$E66,TRUE,$C$2:$C66,TRUE)</f>
        <v>6</v>
      </c>
      <c r="B66" s="33" t="str">
        <f t="shared" si="2"/>
        <v>Who65</v>
      </c>
      <c r="C66" s="31" t="str">
        <f ca="1">IFERROR(IF(OFFSET(ref_tree_who!$A$1,MATCH(TRUE,ref_tree_who!$G:$G,0)-1,MATCH(ref_questions!$B66,ref_tree_who!$2:$2,0)-1)="x",TRUE,""),"")</f>
        <v/>
      </c>
      <c r="D66" s="33" t="s">
        <v>143</v>
      </c>
      <c r="E66" s="31" t="str">
        <f ca="1">IFERROR(IF(OFFSET(ref_tree_what!$A$1,MATCH(TRUE,ref_tree_what!$G:$G,0)-1,MATCH(ref_questions!$D66,ref_tree_what!$2:$2,0)-1)="x",TRUE,""),"")</f>
        <v/>
      </c>
      <c r="F66" s="30" t="s">
        <v>115</v>
      </c>
      <c r="G66" s="31">
        <f t="shared" si="0"/>
        <v>66</v>
      </c>
    </row>
    <row r="67" spans="1:7" x14ac:dyDescent="0.25">
      <c r="A67" s="31">
        <f ca="1">COUNTIFS($E$2:$E67,TRUE,$C$2:$C67,TRUE)</f>
        <v>6</v>
      </c>
      <c r="B67" s="33" t="str">
        <f t="shared" ref="B67:B88" si="3">"Who" &amp; ROW(B67) - 1</f>
        <v>Who66</v>
      </c>
      <c r="C67" s="31" t="str">
        <f ca="1">IFERROR(IF(OFFSET(ref_tree_who!$A$1,MATCH(TRUE,ref_tree_who!$G:$G,0)-1,MATCH(ref_questions!$B67,ref_tree_who!$2:$2,0)-1)="x",TRUE,""),"")</f>
        <v/>
      </c>
      <c r="D67" s="33" t="s">
        <v>143</v>
      </c>
      <c r="E67" s="31" t="str">
        <f ca="1">IFERROR(IF(OFFSET(ref_tree_what!$A$1,MATCH(TRUE,ref_tree_what!$G:$G,0)-1,MATCH(ref_questions!$D67,ref_tree_what!$2:$2,0)-1)="x",TRUE,""),"")</f>
        <v/>
      </c>
      <c r="F67" s="30" t="s">
        <v>116</v>
      </c>
      <c r="G67" s="31">
        <f t="shared" ref="G67:G88" si="4">ROW(G67)</f>
        <v>67</v>
      </c>
    </row>
    <row r="68" spans="1:7" x14ac:dyDescent="0.25">
      <c r="A68" s="31">
        <f ca="1">COUNTIFS($E$2:$E68,TRUE,$C$2:$C68,TRUE)</f>
        <v>6</v>
      </c>
      <c r="B68" s="33" t="str">
        <f t="shared" si="3"/>
        <v>Who67</v>
      </c>
      <c r="C68" s="31" t="str">
        <f ca="1">IFERROR(IF(OFFSET(ref_tree_who!$A$1,MATCH(TRUE,ref_tree_who!$G:$G,0)-1,MATCH(ref_questions!$B68,ref_tree_who!$2:$2,0)-1)="x",TRUE,""),"")</f>
        <v/>
      </c>
      <c r="D68" s="33" t="s">
        <v>144</v>
      </c>
      <c r="E68" s="31" t="str">
        <f ca="1">IFERROR(IF(OFFSET(ref_tree_what!$A$1,MATCH(TRUE,ref_tree_what!$G:$G,0)-1,MATCH(ref_questions!$D68,ref_tree_what!$2:$2,0)-1)="x",TRUE,""),"")</f>
        <v/>
      </c>
      <c r="F68" s="30" t="s">
        <v>117</v>
      </c>
      <c r="G68" s="31">
        <f t="shared" si="4"/>
        <v>68</v>
      </c>
    </row>
    <row r="69" spans="1:7" x14ac:dyDescent="0.25">
      <c r="A69" s="31">
        <f ca="1">COUNTIFS($E$2:$E69,TRUE,$C$2:$C69,TRUE)</f>
        <v>6</v>
      </c>
      <c r="B69" s="33" t="str">
        <f t="shared" si="3"/>
        <v>Who68</v>
      </c>
      <c r="C69" s="31" t="str">
        <f ca="1">IFERROR(IF(OFFSET(ref_tree_who!$A$1,MATCH(TRUE,ref_tree_who!$G:$G,0)-1,MATCH(ref_questions!$B69,ref_tree_who!$2:$2,0)-1)="x",TRUE,""),"")</f>
        <v/>
      </c>
      <c r="D69" s="33" t="s">
        <v>144</v>
      </c>
      <c r="E69" s="31" t="str">
        <f ca="1">IFERROR(IF(OFFSET(ref_tree_what!$A$1,MATCH(TRUE,ref_tree_what!$G:$G,0)-1,MATCH(ref_questions!$D69,ref_tree_what!$2:$2,0)-1)="x",TRUE,""),"")</f>
        <v/>
      </c>
      <c r="F69" s="30" t="s">
        <v>118</v>
      </c>
      <c r="G69" s="31">
        <f t="shared" si="4"/>
        <v>69</v>
      </c>
    </row>
    <row r="70" spans="1:7" x14ac:dyDescent="0.25">
      <c r="A70" s="31">
        <f ca="1">COUNTIFS($E$2:$E70,TRUE,$C$2:$C70,TRUE)</f>
        <v>6</v>
      </c>
      <c r="B70" s="33" t="str">
        <f t="shared" si="3"/>
        <v>Who69</v>
      </c>
      <c r="C70" s="31" t="str">
        <f ca="1">IFERROR(IF(OFFSET(ref_tree_who!$A$1,MATCH(TRUE,ref_tree_who!$G:$G,0)-1,MATCH(ref_questions!$B70,ref_tree_who!$2:$2,0)-1)="x",TRUE,""),"")</f>
        <v/>
      </c>
      <c r="D70" s="33" t="s">
        <v>144</v>
      </c>
      <c r="E70" s="31" t="str">
        <f ca="1">IFERROR(IF(OFFSET(ref_tree_what!$A$1,MATCH(TRUE,ref_tree_what!$G:$G,0)-1,MATCH(ref_questions!$D70,ref_tree_what!$2:$2,0)-1)="x",TRUE,""),"")</f>
        <v/>
      </c>
      <c r="F70" s="30" t="s">
        <v>119</v>
      </c>
      <c r="G70" s="31">
        <f t="shared" si="4"/>
        <v>70</v>
      </c>
    </row>
    <row r="71" spans="1:7" x14ac:dyDescent="0.25">
      <c r="A71" s="31">
        <f ca="1">COUNTIFS($E$2:$E71,TRUE,$C$2:$C71,TRUE)</f>
        <v>6</v>
      </c>
      <c r="B71" s="33" t="str">
        <f t="shared" si="3"/>
        <v>Who70</v>
      </c>
      <c r="C71" s="31" t="str">
        <f ca="1">IFERROR(IF(OFFSET(ref_tree_who!$A$1,MATCH(TRUE,ref_tree_who!$G:$G,0)-1,MATCH(ref_questions!$B71,ref_tree_who!$2:$2,0)-1)="x",TRUE,""),"")</f>
        <v/>
      </c>
      <c r="D71" s="33" t="s">
        <v>145</v>
      </c>
      <c r="E71" s="31" t="str">
        <f ca="1">IFERROR(IF(OFFSET(ref_tree_what!$A$1,MATCH(TRUE,ref_tree_what!$G:$G,0)-1,MATCH(ref_questions!$D71,ref_tree_what!$2:$2,0)-1)="x",TRUE,""),"")</f>
        <v/>
      </c>
      <c r="F71" s="30" t="s">
        <v>120</v>
      </c>
      <c r="G71" s="31">
        <f t="shared" si="4"/>
        <v>71</v>
      </c>
    </row>
    <row r="72" spans="1:7" x14ac:dyDescent="0.25">
      <c r="A72" s="31">
        <f ca="1">COUNTIFS($E$2:$E72,TRUE,$C$2:$C72,TRUE)</f>
        <v>6</v>
      </c>
      <c r="B72" s="33" t="str">
        <f t="shared" si="3"/>
        <v>Who71</v>
      </c>
      <c r="C72" s="31" t="str">
        <f ca="1">IFERROR(IF(OFFSET(ref_tree_who!$A$1,MATCH(TRUE,ref_tree_who!$G:$G,0)-1,MATCH(ref_questions!$B72,ref_tree_who!$2:$2,0)-1)="x",TRUE,""),"")</f>
        <v/>
      </c>
      <c r="D72" s="33" t="s">
        <v>145</v>
      </c>
      <c r="E72" s="31" t="str">
        <f ca="1">IFERROR(IF(OFFSET(ref_tree_what!$A$1,MATCH(TRUE,ref_tree_what!$G:$G,0)-1,MATCH(ref_questions!$D72,ref_tree_what!$2:$2,0)-1)="x",TRUE,""),"")</f>
        <v/>
      </c>
      <c r="F72" s="30" t="s">
        <v>121</v>
      </c>
      <c r="G72" s="31">
        <f t="shared" si="4"/>
        <v>72</v>
      </c>
    </row>
    <row r="73" spans="1:7" x14ac:dyDescent="0.25">
      <c r="A73" s="31">
        <f ca="1">COUNTIFS($E$2:$E73,TRUE,$C$2:$C73,TRUE)</f>
        <v>6</v>
      </c>
      <c r="B73" s="33" t="str">
        <f t="shared" si="3"/>
        <v>Who72</v>
      </c>
      <c r="C73" s="31" t="str">
        <f ca="1">IFERROR(IF(OFFSET(ref_tree_who!$A$1,MATCH(TRUE,ref_tree_who!$G:$G,0)-1,MATCH(ref_questions!$B73,ref_tree_who!$2:$2,0)-1)="x",TRUE,""),"")</f>
        <v/>
      </c>
      <c r="D73" s="33" t="s">
        <v>145</v>
      </c>
      <c r="E73" s="31" t="str">
        <f ca="1">IFERROR(IF(OFFSET(ref_tree_what!$A$1,MATCH(TRUE,ref_tree_what!$G:$G,0)-1,MATCH(ref_questions!$D73,ref_tree_what!$2:$2,0)-1)="x",TRUE,""),"")</f>
        <v/>
      </c>
      <c r="F73" s="30" t="s">
        <v>122</v>
      </c>
      <c r="G73" s="31">
        <f t="shared" si="4"/>
        <v>73</v>
      </c>
    </row>
    <row r="74" spans="1:7" ht="30" x14ac:dyDescent="0.25">
      <c r="A74" s="31">
        <f ca="1">COUNTIFS($E$2:$E74,TRUE,$C$2:$C74,TRUE)</f>
        <v>6</v>
      </c>
      <c r="B74" s="33" t="str">
        <f t="shared" si="3"/>
        <v>Who73</v>
      </c>
      <c r="C74" s="31" t="str">
        <f ca="1">IFERROR(IF(OFFSET(ref_tree_who!$A$1,MATCH(TRUE,ref_tree_who!$G:$G,0)-1,MATCH(ref_questions!$B74,ref_tree_who!$2:$2,0)-1)="x",TRUE,""),"")</f>
        <v/>
      </c>
      <c r="D74" s="33" t="s">
        <v>146</v>
      </c>
      <c r="E74" s="31" t="str">
        <f ca="1">IFERROR(IF(OFFSET(ref_tree_what!$A$1,MATCH(TRUE,ref_tree_what!$G:$G,0)-1,MATCH(ref_questions!$D74,ref_tree_what!$2:$2,0)-1)="x",TRUE,""),"")</f>
        <v/>
      </c>
      <c r="F74" s="30" t="s">
        <v>123</v>
      </c>
      <c r="G74" s="31">
        <f t="shared" si="4"/>
        <v>74</v>
      </c>
    </row>
    <row r="75" spans="1:7" ht="30" x14ac:dyDescent="0.25">
      <c r="A75" s="31">
        <f ca="1">COUNTIFS($E$2:$E75,TRUE,$C$2:$C75,TRUE)</f>
        <v>6</v>
      </c>
      <c r="B75" s="33" t="str">
        <f t="shared" si="3"/>
        <v>Who74</v>
      </c>
      <c r="C75" s="31" t="str">
        <f ca="1">IFERROR(IF(OFFSET(ref_tree_who!$A$1,MATCH(TRUE,ref_tree_who!$G:$G,0)-1,MATCH(ref_questions!$B75,ref_tree_who!$2:$2,0)-1)="x",TRUE,""),"")</f>
        <v/>
      </c>
      <c r="D75" s="33" t="s">
        <v>146</v>
      </c>
      <c r="E75" s="31" t="str">
        <f ca="1">IFERROR(IF(OFFSET(ref_tree_what!$A$1,MATCH(TRUE,ref_tree_what!$G:$G,0)-1,MATCH(ref_questions!$D75,ref_tree_what!$2:$2,0)-1)="x",TRUE,""),"")</f>
        <v/>
      </c>
      <c r="F75" s="30" t="s">
        <v>124</v>
      </c>
      <c r="G75" s="31">
        <f t="shared" si="4"/>
        <v>75</v>
      </c>
    </row>
    <row r="76" spans="1:7" ht="30" x14ac:dyDescent="0.25">
      <c r="A76" s="31">
        <f ca="1">COUNTIFS($E$2:$E76,TRUE,$C$2:$C76,TRUE)</f>
        <v>6</v>
      </c>
      <c r="B76" s="33" t="str">
        <f t="shared" si="3"/>
        <v>Who75</v>
      </c>
      <c r="C76" s="31" t="str">
        <f ca="1">IFERROR(IF(OFFSET(ref_tree_who!$A$1,MATCH(TRUE,ref_tree_who!$G:$G,0)-1,MATCH(ref_questions!$B76,ref_tree_who!$2:$2,0)-1)="x",TRUE,""),"")</f>
        <v/>
      </c>
      <c r="D76" s="33" t="s">
        <v>146</v>
      </c>
      <c r="E76" s="31" t="str">
        <f ca="1">IFERROR(IF(OFFSET(ref_tree_what!$A$1,MATCH(TRUE,ref_tree_what!$G:$G,0)-1,MATCH(ref_questions!$D76,ref_tree_what!$2:$2,0)-1)="x",TRUE,""),"")</f>
        <v/>
      </c>
      <c r="F76" s="30" t="s">
        <v>125</v>
      </c>
      <c r="G76" s="31">
        <f t="shared" si="4"/>
        <v>76</v>
      </c>
    </row>
    <row r="77" spans="1:7" ht="30" x14ac:dyDescent="0.25">
      <c r="A77" s="31">
        <f ca="1">COUNTIFS($E$2:$E77,TRUE,$C$2:$C77,TRUE)</f>
        <v>6</v>
      </c>
      <c r="B77" s="33" t="str">
        <f t="shared" si="3"/>
        <v>Who76</v>
      </c>
      <c r="C77" s="31" t="str">
        <f ca="1">IFERROR(IF(OFFSET(ref_tree_who!$A$1,MATCH(TRUE,ref_tree_who!$G:$G,0)-1,MATCH(ref_questions!$B77,ref_tree_who!$2:$2,0)-1)="x",TRUE,""),"")</f>
        <v/>
      </c>
      <c r="D77" s="33" t="s">
        <v>142</v>
      </c>
      <c r="E77" s="31" t="str">
        <f ca="1">IFERROR(IF(OFFSET(ref_tree_what!$A$1,MATCH(TRUE,ref_tree_what!$G:$G,0)-1,MATCH(ref_questions!$D77,ref_tree_what!$2:$2,0)-1)="x",TRUE,""),"")</f>
        <v/>
      </c>
      <c r="F77" s="30" t="s">
        <v>99</v>
      </c>
      <c r="G77" s="31">
        <f t="shared" si="4"/>
        <v>77</v>
      </c>
    </row>
    <row r="78" spans="1:7" ht="30" x14ac:dyDescent="0.25">
      <c r="A78" s="31">
        <f ca="1">COUNTIFS($E$2:$E78,TRUE,$C$2:$C78,TRUE)</f>
        <v>6</v>
      </c>
      <c r="B78" s="33" t="str">
        <f t="shared" si="3"/>
        <v>Who77</v>
      </c>
      <c r="C78" s="31" t="str">
        <f ca="1">IFERROR(IF(OFFSET(ref_tree_who!$A$1,MATCH(TRUE,ref_tree_who!$G:$G,0)-1,MATCH(ref_questions!$B78,ref_tree_who!$2:$2,0)-1)="x",TRUE,""),"")</f>
        <v/>
      </c>
      <c r="D78" s="33" t="s">
        <v>142</v>
      </c>
      <c r="E78" s="31" t="str">
        <f ca="1">IFERROR(IF(OFFSET(ref_tree_what!$A$1,MATCH(TRUE,ref_tree_what!$G:$G,0)-1,MATCH(ref_questions!$D78,ref_tree_what!$2:$2,0)-1)="x",TRUE,""),"")</f>
        <v/>
      </c>
      <c r="F78" s="30" t="s">
        <v>100</v>
      </c>
      <c r="G78" s="31">
        <f t="shared" si="4"/>
        <v>78</v>
      </c>
    </row>
    <row r="79" spans="1:7" ht="30" x14ac:dyDescent="0.25">
      <c r="A79" s="31">
        <f ca="1">COUNTIFS($E$2:$E79,TRUE,$C$2:$C79,TRUE)</f>
        <v>6</v>
      </c>
      <c r="B79" s="33" t="str">
        <f t="shared" si="3"/>
        <v>Who78</v>
      </c>
      <c r="C79" s="31" t="str">
        <f ca="1">IFERROR(IF(OFFSET(ref_tree_who!$A$1,MATCH(TRUE,ref_tree_who!$G:$G,0)-1,MATCH(ref_questions!$B79,ref_tree_who!$2:$2,0)-1)="x",TRUE,""),"")</f>
        <v/>
      </c>
      <c r="D79" s="33" t="s">
        <v>142</v>
      </c>
      <c r="E79" s="31" t="str">
        <f ca="1">IFERROR(IF(OFFSET(ref_tree_what!$A$1,MATCH(TRUE,ref_tree_what!$G:$G,0)-1,MATCH(ref_questions!$D79,ref_tree_what!$2:$2,0)-1)="x",TRUE,""),"")</f>
        <v/>
      </c>
      <c r="F79" s="30" t="s">
        <v>101</v>
      </c>
      <c r="G79" s="31">
        <f t="shared" si="4"/>
        <v>79</v>
      </c>
    </row>
    <row r="80" spans="1:7" x14ac:dyDescent="0.25">
      <c r="A80" s="31">
        <f ca="1">COUNTIFS($E$2:$E80,TRUE,$C$2:$C80,TRUE)</f>
        <v>6</v>
      </c>
      <c r="B80" s="33" t="str">
        <f t="shared" si="3"/>
        <v>Who79</v>
      </c>
      <c r="C80" s="31" t="str">
        <f ca="1">IFERROR(IF(OFFSET(ref_tree_who!$A$1,MATCH(TRUE,ref_tree_who!$G:$G,0)-1,MATCH(ref_questions!$B80,ref_tree_who!$2:$2,0)-1)="x",TRUE,""),"")</f>
        <v/>
      </c>
      <c r="D80" s="33" t="s">
        <v>137</v>
      </c>
      <c r="E80" s="31" t="b">
        <f ca="1">IFERROR(IF(OFFSET(ref_tree_what!$A$1,MATCH(TRUE,ref_tree_what!$G:$G,0)-1,MATCH(ref_questions!$D80,ref_tree_what!$2:$2,0)-1)="x",TRUE,""),"")</f>
        <v>1</v>
      </c>
      <c r="F80" s="30" t="s">
        <v>126</v>
      </c>
      <c r="G80" s="31">
        <f t="shared" si="4"/>
        <v>80</v>
      </c>
    </row>
    <row r="81" spans="1:7" x14ac:dyDescent="0.25">
      <c r="A81" s="31">
        <f ca="1">COUNTIFS($E$2:$E81,TRUE,$C$2:$C81,TRUE)</f>
        <v>6</v>
      </c>
      <c r="B81" s="33" t="str">
        <f t="shared" si="3"/>
        <v>Who80</v>
      </c>
      <c r="C81" s="31" t="str">
        <f ca="1">IFERROR(IF(OFFSET(ref_tree_who!$A$1,MATCH(TRUE,ref_tree_who!$G:$G,0)-1,MATCH(ref_questions!$B81,ref_tree_who!$2:$2,0)-1)="x",TRUE,""),"")</f>
        <v/>
      </c>
      <c r="D81" s="33" t="s">
        <v>137</v>
      </c>
      <c r="E81" s="31" t="b">
        <f ca="1">IFERROR(IF(OFFSET(ref_tree_what!$A$1,MATCH(TRUE,ref_tree_what!$G:$G,0)-1,MATCH(ref_questions!$D81,ref_tree_what!$2:$2,0)-1)="x",TRUE,""),"")</f>
        <v>1</v>
      </c>
      <c r="F81" s="30" t="s">
        <v>127</v>
      </c>
      <c r="G81" s="31">
        <f t="shared" si="4"/>
        <v>81</v>
      </c>
    </row>
    <row r="82" spans="1:7" x14ac:dyDescent="0.25">
      <c r="A82" s="31">
        <f ca="1">COUNTIFS($E$2:$E82,TRUE,$C$2:$C82,TRUE)</f>
        <v>6</v>
      </c>
      <c r="B82" s="33" t="str">
        <f t="shared" si="3"/>
        <v>Who81</v>
      </c>
      <c r="C82" s="31" t="str">
        <f ca="1">IFERROR(IF(OFFSET(ref_tree_who!$A$1,MATCH(TRUE,ref_tree_who!$G:$G,0)-1,MATCH(ref_questions!$B82,ref_tree_who!$2:$2,0)-1)="x",TRUE,""),"")</f>
        <v/>
      </c>
      <c r="D82" s="33" t="s">
        <v>137</v>
      </c>
      <c r="E82" s="31" t="b">
        <f ca="1">IFERROR(IF(OFFSET(ref_tree_what!$A$1,MATCH(TRUE,ref_tree_what!$G:$G,0)-1,MATCH(ref_questions!$D82,ref_tree_what!$2:$2,0)-1)="x",TRUE,""),"")</f>
        <v>1</v>
      </c>
      <c r="F82" s="30" t="s">
        <v>128</v>
      </c>
      <c r="G82" s="31">
        <f t="shared" si="4"/>
        <v>82</v>
      </c>
    </row>
    <row r="83" spans="1:7" x14ac:dyDescent="0.25">
      <c r="A83" s="31">
        <f ca="1">COUNTIFS($E$2:$E83,TRUE,$C$2:$C83,TRUE)</f>
        <v>6</v>
      </c>
      <c r="B83" s="33" t="str">
        <f t="shared" si="3"/>
        <v>Who82</v>
      </c>
      <c r="C83" s="31" t="str">
        <f ca="1">IFERROR(IF(OFFSET(ref_tree_who!$A$1,MATCH(TRUE,ref_tree_who!$G:$G,0)-1,MATCH(ref_questions!$B83,ref_tree_who!$2:$2,0)-1)="x",TRUE,""),"")</f>
        <v/>
      </c>
      <c r="D83" s="33" t="s">
        <v>138</v>
      </c>
      <c r="E83" s="31" t="b">
        <f ca="1">IFERROR(IF(OFFSET(ref_tree_what!$A$1,MATCH(TRUE,ref_tree_what!$G:$G,0)-1,MATCH(ref_questions!$D83,ref_tree_what!$2:$2,0)-1)="x",TRUE,""),"")</f>
        <v>1</v>
      </c>
      <c r="F83" s="30" t="s">
        <v>129</v>
      </c>
      <c r="G83" s="31">
        <f t="shared" si="4"/>
        <v>83</v>
      </c>
    </row>
    <row r="84" spans="1:7" x14ac:dyDescent="0.25">
      <c r="A84" s="31">
        <f ca="1">COUNTIFS($E$2:$E84,TRUE,$C$2:$C84,TRUE)</f>
        <v>6</v>
      </c>
      <c r="B84" s="33" t="str">
        <f t="shared" si="3"/>
        <v>Who83</v>
      </c>
      <c r="C84" s="31" t="str">
        <f ca="1">IFERROR(IF(OFFSET(ref_tree_who!$A$1,MATCH(TRUE,ref_tree_who!$G:$G,0)-1,MATCH(ref_questions!$B84,ref_tree_who!$2:$2,0)-1)="x",TRUE,""),"")</f>
        <v/>
      </c>
      <c r="D84" s="33" t="s">
        <v>138</v>
      </c>
      <c r="E84" s="31" t="b">
        <f ca="1">IFERROR(IF(OFFSET(ref_tree_what!$A$1,MATCH(TRUE,ref_tree_what!$G:$G,0)-1,MATCH(ref_questions!$D84,ref_tree_what!$2:$2,0)-1)="x",TRUE,""),"")</f>
        <v>1</v>
      </c>
      <c r="F84" s="30" t="s">
        <v>130</v>
      </c>
      <c r="G84" s="31">
        <f t="shared" si="4"/>
        <v>84</v>
      </c>
    </row>
    <row r="85" spans="1:7" x14ac:dyDescent="0.25">
      <c r="A85" s="31">
        <f ca="1">COUNTIFS($E$2:$E85,TRUE,$C$2:$C85,TRUE)</f>
        <v>6</v>
      </c>
      <c r="B85" s="33" t="str">
        <f t="shared" si="3"/>
        <v>Who84</v>
      </c>
      <c r="C85" s="31" t="str">
        <f ca="1">IFERROR(IF(OFFSET(ref_tree_who!$A$1,MATCH(TRUE,ref_tree_who!$G:$G,0)-1,MATCH(ref_questions!$B85,ref_tree_who!$2:$2,0)-1)="x",TRUE,""),"")</f>
        <v/>
      </c>
      <c r="D85" s="33" t="s">
        <v>138</v>
      </c>
      <c r="E85" s="31" t="b">
        <f ca="1">IFERROR(IF(OFFSET(ref_tree_what!$A$1,MATCH(TRUE,ref_tree_what!$G:$G,0)-1,MATCH(ref_questions!$D85,ref_tree_what!$2:$2,0)-1)="x",TRUE,""),"")</f>
        <v>1</v>
      </c>
      <c r="F85" s="30" t="s">
        <v>131</v>
      </c>
      <c r="G85" s="31">
        <f t="shared" si="4"/>
        <v>85</v>
      </c>
    </row>
    <row r="86" spans="1:7" x14ac:dyDescent="0.25">
      <c r="A86" s="31">
        <f ca="1">COUNTIFS($E$2:$E86,TRUE,$C$2:$C86,TRUE)</f>
        <v>6</v>
      </c>
      <c r="B86" s="33" t="str">
        <f t="shared" si="3"/>
        <v>Who85</v>
      </c>
      <c r="C86" s="31" t="str">
        <f ca="1">IFERROR(IF(OFFSET(ref_tree_who!$A$1,MATCH(TRUE,ref_tree_who!$G:$G,0)-1,MATCH(ref_questions!$B86,ref_tree_who!$2:$2,0)-1)="x",TRUE,""),"")</f>
        <v/>
      </c>
      <c r="D86" s="33" t="s">
        <v>139</v>
      </c>
      <c r="E86" s="31" t="str">
        <f ca="1">IFERROR(IF(OFFSET(ref_tree_what!$A$1,MATCH(TRUE,ref_tree_what!$G:$G,0)-1,MATCH(ref_questions!$D86,ref_tree_what!$2:$2,0)-1)="x",TRUE,""),"")</f>
        <v/>
      </c>
      <c r="F86" s="30" t="s">
        <v>132</v>
      </c>
      <c r="G86" s="31">
        <f t="shared" si="4"/>
        <v>86</v>
      </c>
    </row>
    <row r="87" spans="1:7" x14ac:dyDescent="0.25">
      <c r="A87" s="31">
        <f ca="1">COUNTIFS($E$2:$E87,TRUE,$C$2:$C87,TRUE)</f>
        <v>6</v>
      </c>
      <c r="B87" s="33" t="str">
        <f t="shared" si="3"/>
        <v>Who86</v>
      </c>
      <c r="C87" s="31" t="str">
        <f ca="1">IFERROR(IF(OFFSET(ref_tree_who!$A$1,MATCH(TRUE,ref_tree_who!$G:$G,0)-1,MATCH(ref_questions!$B87,ref_tree_who!$2:$2,0)-1)="x",TRUE,""),"")</f>
        <v/>
      </c>
      <c r="D87" s="33" t="s">
        <v>139</v>
      </c>
      <c r="E87" s="31" t="str">
        <f ca="1">IFERROR(IF(OFFSET(ref_tree_what!$A$1,MATCH(TRUE,ref_tree_what!$G:$G,0)-1,MATCH(ref_questions!$D87,ref_tree_what!$2:$2,0)-1)="x",TRUE,""),"")</f>
        <v/>
      </c>
      <c r="F87" s="30" t="s">
        <v>133</v>
      </c>
      <c r="G87" s="31">
        <f t="shared" si="4"/>
        <v>87</v>
      </c>
    </row>
    <row r="88" spans="1:7" x14ac:dyDescent="0.25">
      <c r="A88" s="31">
        <f ca="1">COUNTIFS($E$2:$E88,TRUE,$C$2:$C88,TRUE)</f>
        <v>6</v>
      </c>
      <c r="B88" s="33" t="str">
        <f t="shared" si="3"/>
        <v>Who87</v>
      </c>
      <c r="C88" s="31" t="str">
        <f ca="1">IFERROR(IF(OFFSET(ref_tree_who!$A$1,MATCH(TRUE,ref_tree_who!$G:$G,0)-1,MATCH(ref_questions!$B88,ref_tree_who!$2:$2,0)-1)="x",TRUE,""),"")</f>
        <v/>
      </c>
      <c r="D88" s="33" t="s">
        <v>139</v>
      </c>
      <c r="E88" s="31" t="str">
        <f ca="1">IFERROR(IF(OFFSET(ref_tree_what!$A$1,MATCH(TRUE,ref_tree_what!$G:$G,0)-1,MATCH(ref_questions!$D88,ref_tree_what!$2:$2,0)-1)="x",TRUE,""),"")</f>
        <v/>
      </c>
      <c r="F88" s="30" t="s">
        <v>134</v>
      </c>
      <c r="G88" s="31">
        <f t="shared" si="4"/>
        <v>88</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5" tint="0.39997558519241921"/>
  </sheetPr>
  <dimension ref="A1:R3"/>
  <sheetViews>
    <sheetView workbookViewId="0">
      <pane ySplit="1" topLeftCell="A2" activePane="bottomLeft" state="frozen"/>
      <selection pane="bottomLeft" activeCell="D3" sqref="D3"/>
    </sheetView>
  </sheetViews>
  <sheetFormatPr defaultRowHeight="15" x14ac:dyDescent="0.25"/>
  <cols>
    <col min="1" max="1" width="31.140625" customWidth="1"/>
    <col min="2" max="2" width="28.5703125" customWidth="1"/>
    <col min="3" max="3" width="29.42578125" customWidth="1"/>
    <col min="4" max="18" width="12.28515625" customWidth="1"/>
  </cols>
  <sheetData>
    <row r="1" spans="1:18" x14ac:dyDescent="0.25">
      <c r="A1" s="42" t="s">
        <v>213</v>
      </c>
      <c r="B1" s="42" t="s">
        <v>227</v>
      </c>
      <c r="C1" s="42" t="s">
        <v>228</v>
      </c>
      <c r="D1" s="42"/>
      <c r="E1" s="42"/>
      <c r="F1" s="42"/>
      <c r="G1" s="42"/>
      <c r="H1" s="42"/>
      <c r="I1" s="42"/>
      <c r="J1" s="42"/>
      <c r="K1" s="42"/>
      <c r="L1" s="42"/>
      <c r="M1" s="42"/>
      <c r="N1" s="42"/>
      <c r="O1" s="42"/>
      <c r="P1" s="42"/>
      <c r="Q1" s="42"/>
      <c r="R1" s="42"/>
    </row>
    <row r="2" spans="1:18" x14ac:dyDescent="0.25">
      <c r="A2" t="s">
        <v>214</v>
      </c>
      <c r="B2" t="s">
        <v>247</v>
      </c>
      <c r="C2" t="s">
        <v>248</v>
      </c>
      <c r="D2" t="s">
        <v>218</v>
      </c>
    </row>
    <row r="3" spans="1:18" x14ac:dyDescent="0.25">
      <c r="A3" t="s">
        <v>215</v>
      </c>
      <c r="B3" t="s">
        <v>229</v>
      </c>
      <c r="C3" t="s">
        <v>230</v>
      </c>
      <c r="D3" t="s">
        <v>219</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5" tint="0.39997558519241921"/>
  </sheetPr>
  <dimension ref="A1:S57"/>
  <sheetViews>
    <sheetView workbookViewId="0">
      <selection activeCell="F8" sqref="F8"/>
    </sheetView>
  </sheetViews>
  <sheetFormatPr defaultRowHeight="15" x14ac:dyDescent="0.25"/>
  <cols>
    <col min="1" max="1" width="6.5703125" style="2" customWidth="1"/>
    <col min="2" max="2" width="9.140625" style="2"/>
    <col min="3" max="3" width="10.42578125" style="2" customWidth="1"/>
    <col min="4" max="4" width="11" style="2" customWidth="1"/>
    <col min="5" max="5" width="9.140625" style="2"/>
    <col min="6" max="6" width="46" style="1" customWidth="1"/>
    <col min="7" max="7" width="10.140625" style="2" customWidth="1"/>
    <col min="8" max="8" width="7" style="2" customWidth="1"/>
    <col min="9" max="9" width="10.28515625" style="41" customWidth="1"/>
    <col min="10" max="10" width="11.140625" style="2" customWidth="1"/>
    <col min="11" max="11" width="10.140625" style="2" customWidth="1"/>
    <col min="12" max="12" width="7" style="2" customWidth="1"/>
    <col min="13" max="13" width="10.28515625" style="41" customWidth="1"/>
    <col min="14" max="14" width="11.140625" style="2" customWidth="1"/>
    <col min="15" max="15" width="10.140625" style="2" customWidth="1"/>
    <col min="16" max="16" width="7.42578125" style="2" customWidth="1"/>
    <col min="17" max="17" width="10.28515625" style="41" customWidth="1"/>
    <col min="18" max="18" width="11.140625" style="2" customWidth="1"/>
    <col min="19" max="19" width="7.140625" style="2" customWidth="1"/>
  </cols>
  <sheetData>
    <row r="1" spans="1:19" x14ac:dyDescent="0.25">
      <c r="A1" s="34" t="s">
        <v>149</v>
      </c>
      <c r="B1" s="35"/>
      <c r="C1" s="35"/>
      <c r="D1" s="35"/>
      <c r="E1" s="35"/>
      <c r="F1" s="36"/>
      <c r="G1" s="35"/>
      <c r="H1" s="35"/>
      <c r="I1" s="37"/>
      <c r="J1" s="35"/>
      <c r="K1" s="35"/>
      <c r="L1" s="35"/>
      <c r="M1" s="37"/>
      <c r="N1" s="35"/>
      <c r="O1" s="35"/>
      <c r="P1" s="35"/>
      <c r="Q1" s="37"/>
      <c r="R1" s="35"/>
      <c r="S1" s="35"/>
    </row>
    <row r="2" spans="1:19" ht="30" x14ac:dyDescent="0.25">
      <c r="A2" s="39" t="s">
        <v>155</v>
      </c>
      <c r="B2" s="39" t="s">
        <v>153</v>
      </c>
      <c r="C2" s="39" t="s">
        <v>154</v>
      </c>
      <c r="D2" s="39" t="s">
        <v>156</v>
      </c>
      <c r="E2" s="39" t="s">
        <v>157</v>
      </c>
      <c r="F2" s="38" t="s">
        <v>21</v>
      </c>
      <c r="G2" s="39" t="s">
        <v>236</v>
      </c>
      <c r="H2" s="39" t="s">
        <v>235</v>
      </c>
      <c r="I2" s="44" t="s">
        <v>237</v>
      </c>
      <c r="J2" s="39" t="s">
        <v>238</v>
      </c>
      <c r="K2" s="39" t="s">
        <v>239</v>
      </c>
      <c r="L2" s="39" t="s">
        <v>235</v>
      </c>
      <c r="M2" s="44" t="s">
        <v>240</v>
      </c>
      <c r="N2" s="39" t="s">
        <v>241</v>
      </c>
      <c r="O2" s="39" t="s">
        <v>242</v>
      </c>
      <c r="P2" s="39" t="s">
        <v>235</v>
      </c>
      <c r="Q2" s="44" t="s">
        <v>243</v>
      </c>
      <c r="R2" s="39" t="s">
        <v>244</v>
      </c>
      <c r="S2" s="40" t="s">
        <v>150</v>
      </c>
    </row>
    <row r="3" spans="1:19" x14ac:dyDescent="0.25">
      <c r="A3" s="2" t="str">
        <f>"S" &amp; ROW(A3)-2</f>
        <v>S1</v>
      </c>
      <c r="B3" s="2" t="s">
        <v>151</v>
      </c>
      <c r="C3" s="2" t="s">
        <v>137</v>
      </c>
      <c r="D3" s="2" t="b">
        <f ca="1">IFERROR(IF(OFFSET(ref_tree_who!$A$1,MATCH(TRUE, ref_tree_who!$G:$G,0)-1,MATCH(ref_services!$B3,ref_tree_who!$2:$2,0)-1)="x",TRUE,""),"")</f>
        <v>1</v>
      </c>
      <c r="E3" s="2" t="b">
        <f ca="1">IFERROR(IF(OFFSET(ref_tree_what!$A$1,MATCH(TRUE, ref_tree_what!$G:$G,0)-1,MATCH(ref_services!$C3,ref_tree_what!$2:$2,0)-1)="x",TRUE,""),"")</f>
        <v>1</v>
      </c>
      <c r="F3" s="1" t="s">
        <v>249</v>
      </c>
      <c r="G3" s="2">
        <v>7</v>
      </c>
      <c r="H3" s="2">
        <v>5</v>
      </c>
      <c r="I3" s="41">
        <f ca="1">IFERROR(AVERAGE('Call Notes'!$G:$G),0)</f>
        <v>1</v>
      </c>
      <c r="J3" s="2" t="str">
        <f ca="1">IF(AND($I3&gt;=$G3 -$H3,$I3&lt;=$G3+$H3),TRUE,"")</f>
        <v/>
      </c>
      <c r="K3" s="2">
        <v>7</v>
      </c>
      <c r="L3" s="2">
        <v>6</v>
      </c>
      <c r="M3" s="41">
        <f ca="1">IFERROR(AVERAGE('Call Notes'!$H:$H),0)</f>
        <v>1</v>
      </c>
      <c r="N3" s="2" t="b">
        <f ca="1">IF(AND($M3&gt;=$K3 -$L3,$M3&lt;=$K3+$L3),TRUE,"")</f>
        <v>1</v>
      </c>
      <c r="O3" s="2">
        <v>7</v>
      </c>
      <c r="P3" s="2">
        <v>5</v>
      </c>
      <c r="Q3" s="41">
        <f ca="1">IFERROR(AVERAGE('Call Notes'!$I:$I),0)</f>
        <v>2</v>
      </c>
      <c r="R3" s="2" t="b">
        <f ca="1">IF(AND($Q3&gt;=$O3 -$P3,$Q3&lt;=$O3+$P3),TRUE,"")</f>
        <v>1</v>
      </c>
      <c r="S3" s="2">
        <f ca="1">COUNTIFS($R$3:$R3,TRUE,$N$3:$N3,TRUE,$J$3:$J3,TRUE,$D$3:$D3,TRUE,$E$3:$E3,TRUE)</f>
        <v>0</v>
      </c>
    </row>
    <row r="4" spans="1:19" x14ac:dyDescent="0.25">
      <c r="A4" s="2" t="str">
        <f t="shared" ref="A4:A57" si="0">"S" &amp; ROW(A4)-2</f>
        <v>S2</v>
      </c>
      <c r="B4" s="2" t="s">
        <v>151</v>
      </c>
      <c r="C4" s="2" t="s">
        <v>138</v>
      </c>
      <c r="D4" s="2" t="b">
        <f ca="1">IFERROR(IF(OFFSET(ref_tree_who!$A$1,MATCH(TRUE, ref_tree_who!$G:$G,0)-1,MATCH(ref_services!$B4,ref_tree_who!$2:$2,0)-1)="x",TRUE,""),"")</f>
        <v>1</v>
      </c>
      <c r="E4" s="2" t="b">
        <f ca="1">IFERROR(IF(OFFSET(ref_tree_what!$A$1,MATCH(TRUE, ref_tree_what!$G:$G,0)-1,MATCH(ref_services!$C4,ref_tree_what!$2:$2,0)-1)="x",TRUE,""),"")</f>
        <v>1</v>
      </c>
      <c r="F4" s="1" t="s">
        <v>252</v>
      </c>
      <c r="G4" s="2">
        <v>5</v>
      </c>
      <c r="H4" s="2">
        <v>7</v>
      </c>
      <c r="I4" s="41">
        <f ca="1">IFERROR(AVERAGE('Call Notes'!$G:$G),0)</f>
        <v>1</v>
      </c>
      <c r="J4" s="2" t="b">
        <f t="shared" ref="J4:J57" ca="1" si="1">IF(AND($I4&gt;=$G4 -$H4,$I4&lt;=$G4+$H4),TRUE,"")</f>
        <v>1</v>
      </c>
      <c r="K4" s="2">
        <v>5</v>
      </c>
      <c r="L4" s="2">
        <v>7</v>
      </c>
      <c r="M4" s="41">
        <f ca="1">IFERROR(AVERAGE('Call Notes'!$H:$H),0)</f>
        <v>1</v>
      </c>
      <c r="N4" s="2" t="b">
        <f t="shared" ref="N4:N57" ca="1" si="2">IF(AND($M4&gt;=$K4 -$L4,$M4&lt;=$K4+$L4),TRUE,"")</f>
        <v>1</v>
      </c>
      <c r="O4" s="2">
        <v>5</v>
      </c>
      <c r="P4" s="2">
        <v>7</v>
      </c>
      <c r="Q4" s="41">
        <f ca="1">IFERROR(AVERAGE('Call Notes'!$I:$I),0)</f>
        <v>2</v>
      </c>
      <c r="R4" s="2" t="b">
        <f t="shared" ref="R4:R57" ca="1" si="3">IF(AND($Q4&gt;=$O4 -$P4,$Q4&lt;=$O4+$P4),TRUE,"")</f>
        <v>1</v>
      </c>
      <c r="S4" s="2">
        <f ca="1">COUNTIFS($R$3:$R4,TRUE,$N$3:$N4,TRUE,$J$3:$J4,TRUE,$D$3:$D4,TRUE,$E$3:$E4,TRUE)</f>
        <v>1</v>
      </c>
    </row>
    <row r="5" spans="1:19" x14ac:dyDescent="0.25">
      <c r="A5" s="2" t="str">
        <f t="shared" si="0"/>
        <v>S3</v>
      </c>
      <c r="B5" s="2" t="s">
        <v>151</v>
      </c>
      <c r="C5" s="2" t="s">
        <v>145</v>
      </c>
      <c r="D5" s="2" t="b">
        <f ca="1">IFERROR(IF(OFFSET(ref_tree_who!$A$1,MATCH(TRUE, ref_tree_who!$G:$G,0)-1,MATCH(ref_services!$B5,ref_tree_who!$2:$2,0)-1)="x",TRUE,""),"")</f>
        <v>1</v>
      </c>
      <c r="E5" s="2" t="str">
        <f ca="1">IFERROR(IF(OFFSET(ref_tree_what!$A$1,MATCH(TRUE, ref_tree_what!$G:$G,0)-1,MATCH(ref_services!$C5,ref_tree_what!$2:$2,0)-1)="x",TRUE,""),"")</f>
        <v/>
      </c>
      <c r="F5" s="1" t="s">
        <v>160</v>
      </c>
      <c r="G5" s="2">
        <v>5</v>
      </c>
      <c r="H5" s="2">
        <v>7</v>
      </c>
      <c r="I5" s="41">
        <f ca="1">IFERROR(AVERAGE('Call Notes'!$G:$G),0)</f>
        <v>1</v>
      </c>
      <c r="J5" s="2" t="b">
        <f t="shared" ca="1" si="1"/>
        <v>1</v>
      </c>
      <c r="K5" s="2">
        <v>5</v>
      </c>
      <c r="L5" s="2">
        <v>7</v>
      </c>
      <c r="M5" s="41">
        <f ca="1">IFERROR(AVERAGE('Call Notes'!$H:$H),0)</f>
        <v>1</v>
      </c>
      <c r="N5" s="2" t="b">
        <f t="shared" ca="1" si="2"/>
        <v>1</v>
      </c>
      <c r="O5" s="2">
        <v>5</v>
      </c>
      <c r="P5" s="2">
        <v>7</v>
      </c>
      <c r="Q5" s="41">
        <f ca="1">IFERROR(AVERAGE('Call Notes'!$I:$I),0)</f>
        <v>2</v>
      </c>
      <c r="R5" s="2" t="b">
        <f t="shared" ca="1" si="3"/>
        <v>1</v>
      </c>
      <c r="S5" s="2">
        <f ca="1">COUNTIFS($R$3:$R5,TRUE,$N$3:$N5,TRUE,$J$3:$J5,TRUE,$D$3:$D5,TRUE,$E$3:$E5,TRUE)</f>
        <v>1</v>
      </c>
    </row>
    <row r="6" spans="1:19" x14ac:dyDescent="0.25">
      <c r="A6" s="2" t="str">
        <f t="shared" si="0"/>
        <v>S4</v>
      </c>
      <c r="B6" s="2" t="s">
        <v>151</v>
      </c>
      <c r="C6" s="2" t="s">
        <v>152</v>
      </c>
      <c r="D6" s="2" t="b">
        <f ca="1">IFERROR(IF(OFFSET(ref_tree_who!$A$1,MATCH(TRUE, ref_tree_who!$G:$G,0)-1,MATCH(ref_services!$B6,ref_tree_who!$2:$2,0)-1)="x",TRUE,""),"")</f>
        <v>1</v>
      </c>
      <c r="E6" s="2" t="str">
        <f ca="1">IFERROR(IF(OFFSET(ref_tree_what!$A$1,MATCH(TRUE, ref_tree_what!$G:$G,0)-1,MATCH(ref_services!$C6,ref_tree_what!$2:$2,0)-1)="x",TRUE,""),"")</f>
        <v/>
      </c>
      <c r="F6" s="1" t="s">
        <v>161</v>
      </c>
      <c r="I6" s="41">
        <f ca="1">IFERROR(AVERAGE('Call Notes'!$G:$G),0)</f>
        <v>1</v>
      </c>
      <c r="J6" s="2" t="str">
        <f t="shared" ca="1" si="1"/>
        <v/>
      </c>
      <c r="M6" s="41">
        <f ca="1">IFERROR(AVERAGE('Call Notes'!$H:$H),0)</f>
        <v>1</v>
      </c>
      <c r="N6" s="2" t="str">
        <f t="shared" ca="1" si="2"/>
        <v/>
      </c>
      <c r="Q6" s="41">
        <f ca="1">IFERROR(AVERAGE('Call Notes'!$I:$I),0)</f>
        <v>2</v>
      </c>
      <c r="R6" s="2" t="str">
        <f t="shared" ca="1" si="3"/>
        <v/>
      </c>
      <c r="S6" s="2">
        <f ca="1">COUNTIFS($R$3:$R6,TRUE,$N$3:$N6,TRUE,$J$3:$J6,TRUE,$D$3:$D6,TRUE,$E$3:$E6,TRUE)</f>
        <v>1</v>
      </c>
    </row>
    <row r="7" spans="1:19" x14ac:dyDescent="0.25">
      <c r="A7" s="2" t="str">
        <f t="shared" si="0"/>
        <v>S5</v>
      </c>
      <c r="B7" s="2" t="s">
        <v>158</v>
      </c>
      <c r="C7" s="2" t="s">
        <v>138</v>
      </c>
      <c r="D7" s="2" t="b">
        <f ca="1">IFERROR(IF(OFFSET(ref_tree_who!$A$1,MATCH(TRUE, ref_tree_who!$G:$G,0)-1,MATCH(ref_services!$B7,ref_tree_who!$2:$2,0)-1)="x",TRUE,""),"")</f>
        <v>1</v>
      </c>
      <c r="E7" s="2" t="b">
        <f ca="1">IFERROR(IF(OFFSET(ref_tree_what!$A$1,MATCH(TRUE, ref_tree_what!$G:$G,0)-1,MATCH(ref_services!$C7,ref_tree_what!$2:$2,0)-1)="x",TRUE,""),"")</f>
        <v>1</v>
      </c>
      <c r="F7" s="1" t="s">
        <v>162</v>
      </c>
      <c r="I7" s="41">
        <f ca="1">IFERROR(AVERAGE('Call Notes'!$G:$G),0)</f>
        <v>1</v>
      </c>
      <c r="J7" s="2" t="str">
        <f t="shared" ca="1" si="1"/>
        <v/>
      </c>
      <c r="M7" s="41">
        <f ca="1">IFERROR(AVERAGE('Call Notes'!$H:$H),0)</f>
        <v>1</v>
      </c>
      <c r="N7" s="2" t="str">
        <f t="shared" ca="1" si="2"/>
        <v/>
      </c>
      <c r="Q7" s="41">
        <f ca="1">IFERROR(AVERAGE('Call Notes'!$I:$I),0)</f>
        <v>2</v>
      </c>
      <c r="R7" s="2" t="str">
        <f t="shared" ca="1" si="3"/>
        <v/>
      </c>
      <c r="S7" s="2">
        <f ca="1">COUNTIFS($R$3:$R7,TRUE,$N$3:$N7,TRUE,$J$3:$J7,TRUE,$D$3:$D7,TRUE,$E$3:$E7,TRUE)</f>
        <v>1</v>
      </c>
    </row>
    <row r="8" spans="1:19" x14ac:dyDescent="0.25">
      <c r="A8" s="2" t="str">
        <f t="shared" si="0"/>
        <v>S6</v>
      </c>
      <c r="B8" s="2" t="s">
        <v>159</v>
      </c>
      <c r="C8" s="2" t="s">
        <v>138</v>
      </c>
      <c r="D8" s="2" t="b">
        <f ca="1">IFERROR(IF(OFFSET(ref_tree_who!$A$1,MATCH(TRUE, ref_tree_who!$G:$G,0)-1,MATCH(ref_services!$B8,ref_tree_who!$2:$2,0)-1)="x",TRUE,""),"")</f>
        <v>1</v>
      </c>
      <c r="E8" s="2" t="b">
        <f ca="1">IFERROR(IF(OFFSET(ref_tree_what!$A$1,MATCH(TRUE, ref_tree_what!$G:$G,0)-1,MATCH(ref_services!$C8,ref_tree_what!$2:$2,0)-1)="x",TRUE,""),"")</f>
        <v>1</v>
      </c>
      <c r="F8" s="1" t="s">
        <v>163</v>
      </c>
      <c r="G8" s="2">
        <v>2</v>
      </c>
      <c r="H8" s="2">
        <v>8</v>
      </c>
      <c r="I8" s="41">
        <f ca="1">IFERROR(AVERAGE('Call Notes'!$G:$G),0)</f>
        <v>1</v>
      </c>
      <c r="J8" s="2" t="b">
        <f t="shared" ca="1" si="1"/>
        <v>1</v>
      </c>
      <c r="K8" s="2">
        <v>2</v>
      </c>
      <c r="L8" s="2">
        <v>8</v>
      </c>
      <c r="M8" s="41">
        <f ca="1">IFERROR(AVERAGE('Call Notes'!$H:$H),0)</f>
        <v>1</v>
      </c>
      <c r="N8" s="2" t="b">
        <f t="shared" ca="1" si="2"/>
        <v>1</v>
      </c>
      <c r="O8" s="2">
        <v>2</v>
      </c>
      <c r="P8" s="2">
        <v>8</v>
      </c>
      <c r="Q8" s="41">
        <f ca="1">IFERROR(AVERAGE('Call Notes'!$I:$I),0)</f>
        <v>2</v>
      </c>
      <c r="R8" s="2" t="b">
        <f t="shared" ca="1" si="3"/>
        <v>1</v>
      </c>
      <c r="S8" s="2">
        <f ca="1">COUNTIFS($R$3:$R8,TRUE,$N$3:$N8,TRUE,$J$3:$J8,TRUE,$D$3:$D8,TRUE,$E$3:$E8,TRUE)</f>
        <v>2</v>
      </c>
    </row>
    <row r="9" spans="1:19" x14ac:dyDescent="0.25">
      <c r="A9" s="2" t="str">
        <f t="shared" si="0"/>
        <v>S7</v>
      </c>
      <c r="D9" s="2" t="str">
        <f ca="1">IFERROR(IF(OFFSET(ref_tree_who!$A$1,MATCH(TRUE, ref_tree_who!$G:$G,0)-1,MATCH(ref_services!$B9,ref_tree_who!$2:$2,0)-1)="x",TRUE,""),"")</f>
        <v/>
      </c>
      <c r="E9" s="2" t="str">
        <f ca="1">IFERROR(IF(OFFSET(ref_tree_what!$A$1,MATCH(TRUE, ref_tree_what!$G:$G,0)-1,MATCH(ref_services!$C9,ref_tree_what!$2:$2,0)-1)="x",TRUE,""),"")</f>
        <v/>
      </c>
      <c r="F9" s="1" t="s">
        <v>164</v>
      </c>
      <c r="G9" s="2">
        <v>7</v>
      </c>
      <c r="H9" s="2">
        <v>10</v>
      </c>
      <c r="I9" s="41">
        <f ca="1">IFERROR(AVERAGE('Call Notes'!$G:$G),0)</f>
        <v>1</v>
      </c>
      <c r="J9" s="2" t="b">
        <f t="shared" ca="1" si="1"/>
        <v>1</v>
      </c>
      <c r="K9" s="2">
        <v>7</v>
      </c>
      <c r="L9" s="2">
        <v>10</v>
      </c>
      <c r="M9" s="41">
        <f ca="1">IFERROR(AVERAGE('Call Notes'!$H:$H),0)</f>
        <v>1</v>
      </c>
      <c r="N9" s="2" t="b">
        <f t="shared" ca="1" si="2"/>
        <v>1</v>
      </c>
      <c r="O9" s="2">
        <v>7</v>
      </c>
      <c r="P9" s="2">
        <v>10</v>
      </c>
      <c r="Q9" s="41">
        <f ca="1">IFERROR(AVERAGE('Call Notes'!$I:$I),0)</f>
        <v>2</v>
      </c>
      <c r="R9" s="2" t="b">
        <f t="shared" ca="1" si="3"/>
        <v>1</v>
      </c>
      <c r="S9" s="2">
        <f ca="1">COUNTIFS($R$3:$R9,TRUE,$N$3:$N9,TRUE,$J$3:$J9,TRUE,$D$3:$D9,TRUE,$E$3:$E9,TRUE)</f>
        <v>2</v>
      </c>
    </row>
    <row r="10" spans="1:19" x14ac:dyDescent="0.25">
      <c r="A10" s="2" t="str">
        <f t="shared" si="0"/>
        <v>S8</v>
      </c>
      <c r="D10" s="2" t="str">
        <f ca="1">IFERROR(IF(OFFSET(ref_tree_who!$A$1,MATCH(TRUE, ref_tree_who!$G:$G,0)-1,MATCH(ref_services!$B10,ref_tree_who!$2:$2,0)-1)="x",TRUE,""),"")</f>
        <v/>
      </c>
      <c r="E10" s="2" t="str">
        <f ca="1">IFERROR(IF(OFFSET(ref_tree_what!$A$1,MATCH(TRUE, ref_tree_what!$G:$G,0)-1,MATCH(ref_services!$C10,ref_tree_what!$2:$2,0)-1)="x",TRUE,""),"")</f>
        <v/>
      </c>
      <c r="F10" s="1" t="s">
        <v>165</v>
      </c>
      <c r="I10" s="41">
        <f ca="1">IFERROR(AVERAGE('Call Notes'!$G:$G),0)</f>
        <v>1</v>
      </c>
      <c r="J10" s="2" t="str">
        <f t="shared" ca="1" si="1"/>
        <v/>
      </c>
      <c r="M10" s="41">
        <f ca="1">IFERROR(AVERAGE('Call Notes'!$H:$H),0)</f>
        <v>1</v>
      </c>
      <c r="N10" s="2" t="str">
        <f t="shared" ca="1" si="2"/>
        <v/>
      </c>
      <c r="Q10" s="41">
        <f ca="1">IFERROR(AVERAGE('Call Notes'!$I:$I),0)</f>
        <v>2</v>
      </c>
      <c r="R10" s="2" t="str">
        <f t="shared" ca="1" si="3"/>
        <v/>
      </c>
      <c r="S10" s="2">
        <f ca="1">COUNTIFS($R$3:$R10,TRUE,$N$3:$N10,TRUE,$J$3:$J10,TRUE,$D$3:$D10,TRUE,$E$3:$E10,TRUE)</f>
        <v>2</v>
      </c>
    </row>
    <row r="11" spans="1:19" x14ac:dyDescent="0.25">
      <c r="A11" s="2" t="str">
        <f t="shared" si="0"/>
        <v>S9</v>
      </c>
      <c r="D11" s="2" t="str">
        <f ca="1">IFERROR(IF(OFFSET(ref_tree_who!$A$1,MATCH(TRUE, ref_tree_who!$G:$G,0)-1,MATCH(ref_services!$B11,ref_tree_who!$2:$2,0)-1)="x",TRUE,""),"")</f>
        <v/>
      </c>
      <c r="E11" s="2" t="str">
        <f ca="1">IFERROR(IF(OFFSET(ref_tree_what!$A$1,MATCH(TRUE, ref_tree_what!$G:$G,0)-1,MATCH(ref_services!$C11,ref_tree_what!$2:$2,0)-1)="x",TRUE,""),"")</f>
        <v/>
      </c>
      <c r="F11" s="1" t="s">
        <v>166</v>
      </c>
      <c r="G11" s="2">
        <v>7</v>
      </c>
      <c r="H11" s="2">
        <v>10</v>
      </c>
      <c r="I11" s="41">
        <f ca="1">IFERROR(AVERAGE('Call Notes'!$G:$G),0)</f>
        <v>1</v>
      </c>
      <c r="J11" s="2" t="b">
        <f t="shared" ca="1" si="1"/>
        <v>1</v>
      </c>
      <c r="K11" s="2">
        <v>7</v>
      </c>
      <c r="L11" s="2">
        <v>10</v>
      </c>
      <c r="M11" s="41">
        <f ca="1">IFERROR(AVERAGE('Call Notes'!$H:$H),0)</f>
        <v>1</v>
      </c>
      <c r="N11" s="2" t="b">
        <f t="shared" ca="1" si="2"/>
        <v>1</v>
      </c>
      <c r="O11" s="2">
        <v>7</v>
      </c>
      <c r="P11" s="2">
        <v>10</v>
      </c>
      <c r="Q11" s="41">
        <f ca="1">IFERROR(AVERAGE('Call Notes'!$I:$I),0)</f>
        <v>2</v>
      </c>
      <c r="R11" s="2" t="b">
        <f t="shared" ca="1" si="3"/>
        <v>1</v>
      </c>
      <c r="S11" s="2">
        <f ca="1">COUNTIFS($R$3:$R11,TRUE,$N$3:$N11,TRUE,$J$3:$J11,TRUE,$D$3:$D11,TRUE,$E$3:$E11,TRUE)</f>
        <v>2</v>
      </c>
    </row>
    <row r="12" spans="1:19" x14ac:dyDescent="0.25">
      <c r="A12" s="2" t="str">
        <f t="shared" si="0"/>
        <v>S10</v>
      </c>
      <c r="D12" s="2" t="str">
        <f ca="1">IFERROR(IF(OFFSET(ref_tree_who!$A$1,MATCH(TRUE, ref_tree_who!$G:$G,0)-1,MATCH(ref_services!$B12,ref_tree_who!$2:$2,0)-1)="x",TRUE,""),"")</f>
        <v/>
      </c>
      <c r="E12" s="2" t="str">
        <f ca="1">IFERROR(IF(OFFSET(ref_tree_what!$A$1,MATCH(TRUE, ref_tree_what!$G:$G,0)-1,MATCH(ref_services!$C12,ref_tree_what!$2:$2,0)-1)="x",TRUE,""),"")</f>
        <v/>
      </c>
      <c r="F12" s="1" t="s">
        <v>167</v>
      </c>
      <c r="I12" s="41">
        <f ca="1">IFERROR(AVERAGE('Call Notes'!$G:$G),0)</f>
        <v>1</v>
      </c>
      <c r="J12" s="2" t="str">
        <f t="shared" ca="1" si="1"/>
        <v/>
      </c>
      <c r="M12" s="41">
        <f ca="1">IFERROR(AVERAGE('Call Notes'!$H:$H),0)</f>
        <v>1</v>
      </c>
      <c r="N12" s="2" t="str">
        <f t="shared" ca="1" si="2"/>
        <v/>
      </c>
      <c r="Q12" s="41">
        <f ca="1">IFERROR(AVERAGE('Call Notes'!$I:$I),0)</f>
        <v>2</v>
      </c>
      <c r="R12" s="2" t="str">
        <f t="shared" ca="1" si="3"/>
        <v/>
      </c>
      <c r="S12" s="2">
        <f ca="1">COUNTIFS($R$3:$R12,TRUE,$N$3:$N12,TRUE,$J$3:$J12,TRUE,$D$3:$D12,TRUE,$E$3:$E12,TRUE)</f>
        <v>2</v>
      </c>
    </row>
    <row r="13" spans="1:19" x14ac:dyDescent="0.25">
      <c r="A13" s="2" t="str">
        <f t="shared" si="0"/>
        <v>S11</v>
      </c>
      <c r="D13" s="2" t="str">
        <f ca="1">IFERROR(IF(OFFSET(ref_tree_who!$A$1,MATCH(TRUE, ref_tree_who!$G:$G,0)-1,MATCH(ref_services!$B13,ref_tree_who!$2:$2,0)-1)="x",TRUE,""),"")</f>
        <v/>
      </c>
      <c r="E13" s="2" t="str">
        <f ca="1">IFERROR(IF(OFFSET(ref_tree_what!$A$1,MATCH(TRUE, ref_tree_what!$G:$G,0)-1,MATCH(ref_services!$C13,ref_tree_what!$2:$2,0)-1)="x",TRUE,""),"")</f>
        <v/>
      </c>
      <c r="F13" s="1" t="s">
        <v>168</v>
      </c>
      <c r="I13" s="41">
        <f ca="1">IFERROR(AVERAGE('Call Notes'!$G:$G),0)</f>
        <v>1</v>
      </c>
      <c r="J13" s="2" t="str">
        <f t="shared" ca="1" si="1"/>
        <v/>
      </c>
      <c r="M13" s="41">
        <f ca="1">IFERROR(AVERAGE('Call Notes'!$H:$H),0)</f>
        <v>1</v>
      </c>
      <c r="N13" s="2" t="str">
        <f t="shared" ca="1" si="2"/>
        <v/>
      </c>
      <c r="Q13" s="41">
        <f ca="1">IFERROR(AVERAGE('Call Notes'!$I:$I),0)</f>
        <v>2</v>
      </c>
      <c r="R13" s="2" t="str">
        <f t="shared" ca="1" si="3"/>
        <v/>
      </c>
      <c r="S13" s="2">
        <f ca="1">COUNTIFS($R$3:$R13,TRUE,$N$3:$N13,TRUE,$J$3:$J13,TRUE,$D$3:$D13,TRUE,$E$3:$E13,TRUE)</f>
        <v>2</v>
      </c>
    </row>
    <row r="14" spans="1:19" x14ac:dyDescent="0.25">
      <c r="A14" s="2" t="str">
        <f t="shared" si="0"/>
        <v>S12</v>
      </c>
      <c r="D14" s="2" t="str">
        <f ca="1">IFERROR(IF(OFFSET(ref_tree_who!$A$1,MATCH(TRUE, ref_tree_who!$G:$G,0)-1,MATCH(ref_services!$B14,ref_tree_who!$2:$2,0)-1)="x",TRUE,""),"")</f>
        <v/>
      </c>
      <c r="E14" s="2" t="str">
        <f ca="1">IFERROR(IF(OFFSET(ref_tree_what!$A$1,MATCH(TRUE, ref_tree_what!$G:$G,0)-1,MATCH(ref_services!$C14,ref_tree_what!$2:$2,0)-1)="x",TRUE,""),"")</f>
        <v/>
      </c>
      <c r="F14" s="1" t="s">
        <v>169</v>
      </c>
      <c r="G14" s="2">
        <v>5</v>
      </c>
      <c r="H14" s="2">
        <v>7</v>
      </c>
      <c r="I14" s="41">
        <f ca="1">IFERROR(AVERAGE('Call Notes'!$G:$G),0)</f>
        <v>1</v>
      </c>
      <c r="J14" s="2" t="b">
        <f t="shared" ca="1" si="1"/>
        <v>1</v>
      </c>
      <c r="K14" s="2">
        <v>5</v>
      </c>
      <c r="L14" s="2">
        <v>7</v>
      </c>
      <c r="M14" s="41">
        <f ca="1">IFERROR(AVERAGE('Call Notes'!$H:$H),0)</f>
        <v>1</v>
      </c>
      <c r="N14" s="2" t="b">
        <f t="shared" ca="1" si="2"/>
        <v>1</v>
      </c>
      <c r="O14" s="2">
        <v>5</v>
      </c>
      <c r="P14" s="2">
        <v>7</v>
      </c>
      <c r="Q14" s="41">
        <f ca="1">IFERROR(AVERAGE('Call Notes'!$I:$I),0)</f>
        <v>2</v>
      </c>
      <c r="R14" s="2" t="b">
        <f t="shared" ca="1" si="3"/>
        <v>1</v>
      </c>
      <c r="S14" s="2">
        <f ca="1">COUNTIFS($R$3:$R14,TRUE,$N$3:$N14,TRUE,$J$3:$J14,TRUE,$D$3:$D14,TRUE,$E$3:$E14,TRUE)</f>
        <v>2</v>
      </c>
    </row>
    <row r="15" spans="1:19" x14ac:dyDescent="0.25">
      <c r="A15" s="2" t="str">
        <f t="shared" si="0"/>
        <v>S13</v>
      </c>
      <c r="D15" s="2" t="str">
        <f ca="1">IFERROR(IF(OFFSET(ref_tree_who!$A$1,MATCH(TRUE, ref_tree_who!$G:$G,0)-1,MATCH(ref_services!$B15,ref_tree_who!$2:$2,0)-1)="x",TRUE,""),"")</f>
        <v/>
      </c>
      <c r="E15" s="2" t="str">
        <f ca="1">IFERROR(IF(OFFSET(ref_tree_what!$A$1,MATCH(TRUE, ref_tree_what!$G:$G,0)-1,MATCH(ref_services!$C15,ref_tree_what!$2:$2,0)-1)="x",TRUE,""),"")</f>
        <v/>
      </c>
      <c r="F15" s="1" t="s">
        <v>170</v>
      </c>
      <c r="I15" s="41">
        <f ca="1">IFERROR(AVERAGE('Call Notes'!$G:$G),0)</f>
        <v>1</v>
      </c>
      <c r="J15" s="2" t="str">
        <f t="shared" ca="1" si="1"/>
        <v/>
      </c>
      <c r="M15" s="41">
        <f ca="1">IFERROR(AVERAGE('Call Notes'!$H:$H),0)</f>
        <v>1</v>
      </c>
      <c r="N15" s="2" t="str">
        <f t="shared" ca="1" si="2"/>
        <v/>
      </c>
      <c r="Q15" s="41">
        <f ca="1">IFERROR(AVERAGE('Call Notes'!$I:$I),0)</f>
        <v>2</v>
      </c>
      <c r="R15" s="2" t="str">
        <f t="shared" ca="1" si="3"/>
        <v/>
      </c>
      <c r="S15" s="2">
        <f ca="1">COUNTIFS($R$3:$R15,TRUE,$N$3:$N15,TRUE,$J$3:$J15,TRUE,$D$3:$D15,TRUE,$E$3:$E15,TRUE)</f>
        <v>2</v>
      </c>
    </row>
    <row r="16" spans="1:19" x14ac:dyDescent="0.25">
      <c r="A16" s="2" t="str">
        <f t="shared" si="0"/>
        <v>S14</v>
      </c>
      <c r="D16" s="2" t="str">
        <f ca="1">IFERROR(IF(OFFSET(ref_tree_who!$A$1,MATCH(TRUE, ref_tree_who!$G:$G,0)-1,MATCH(ref_services!$B16,ref_tree_who!$2:$2,0)-1)="x",TRUE,""),"")</f>
        <v/>
      </c>
      <c r="E16" s="2" t="str">
        <f ca="1">IFERROR(IF(OFFSET(ref_tree_what!$A$1,MATCH(TRUE, ref_tree_what!$G:$G,0)-1,MATCH(ref_services!$C16,ref_tree_what!$2:$2,0)-1)="x",TRUE,""),"")</f>
        <v/>
      </c>
      <c r="F16" s="1" t="s">
        <v>171</v>
      </c>
      <c r="I16" s="41">
        <f ca="1">IFERROR(AVERAGE('Call Notes'!$G:$G),0)</f>
        <v>1</v>
      </c>
      <c r="J16" s="2" t="str">
        <f t="shared" ca="1" si="1"/>
        <v/>
      </c>
      <c r="M16" s="41">
        <f ca="1">IFERROR(AVERAGE('Call Notes'!$H:$H),0)</f>
        <v>1</v>
      </c>
      <c r="N16" s="2" t="str">
        <f t="shared" ca="1" si="2"/>
        <v/>
      </c>
      <c r="Q16" s="41">
        <f ca="1">IFERROR(AVERAGE('Call Notes'!$I:$I),0)</f>
        <v>2</v>
      </c>
      <c r="R16" s="2" t="str">
        <f t="shared" ca="1" si="3"/>
        <v/>
      </c>
      <c r="S16" s="2">
        <f ca="1">COUNTIFS($R$3:$R16,TRUE,$N$3:$N16,TRUE,$J$3:$J16,TRUE,$D$3:$D16,TRUE,$E$3:$E16,TRUE)</f>
        <v>2</v>
      </c>
    </row>
    <row r="17" spans="1:19" x14ac:dyDescent="0.25">
      <c r="A17" s="2" t="str">
        <f t="shared" si="0"/>
        <v>S15</v>
      </c>
      <c r="D17" s="2" t="str">
        <f ca="1">IFERROR(IF(OFFSET(ref_tree_who!$A$1,MATCH(TRUE, ref_tree_who!$G:$G,0)-1,MATCH(ref_services!$B17,ref_tree_who!$2:$2,0)-1)="x",TRUE,""),"")</f>
        <v/>
      </c>
      <c r="E17" s="2" t="str">
        <f ca="1">IFERROR(IF(OFFSET(ref_tree_what!$A$1,MATCH(TRUE, ref_tree_what!$G:$G,0)-1,MATCH(ref_services!$C17,ref_tree_what!$2:$2,0)-1)="x",TRUE,""),"")</f>
        <v/>
      </c>
      <c r="F17" s="1" t="s">
        <v>172</v>
      </c>
      <c r="G17" s="2">
        <v>2</v>
      </c>
      <c r="H17" s="2">
        <v>5</v>
      </c>
      <c r="I17" s="41">
        <f ca="1">IFERROR(AVERAGE('Call Notes'!$G:$G),0)</f>
        <v>1</v>
      </c>
      <c r="J17" s="2" t="b">
        <f t="shared" ca="1" si="1"/>
        <v>1</v>
      </c>
      <c r="K17" s="2">
        <v>2</v>
      </c>
      <c r="L17" s="2">
        <v>5</v>
      </c>
      <c r="M17" s="41">
        <f ca="1">IFERROR(AVERAGE('Call Notes'!$H:$H),0)</f>
        <v>1</v>
      </c>
      <c r="N17" s="2" t="b">
        <f t="shared" ca="1" si="2"/>
        <v>1</v>
      </c>
      <c r="O17" s="2">
        <v>2</v>
      </c>
      <c r="P17" s="2">
        <v>5</v>
      </c>
      <c r="Q17" s="41">
        <f ca="1">IFERROR(AVERAGE('Call Notes'!$I:$I),0)</f>
        <v>2</v>
      </c>
      <c r="R17" s="2" t="b">
        <f t="shared" ca="1" si="3"/>
        <v>1</v>
      </c>
      <c r="S17" s="2">
        <f ca="1">COUNTIFS($R$3:$R17,TRUE,$N$3:$N17,TRUE,$J$3:$J17,TRUE,$D$3:$D17,TRUE,$E$3:$E17,TRUE)</f>
        <v>2</v>
      </c>
    </row>
    <row r="18" spans="1:19" x14ac:dyDescent="0.25">
      <c r="A18" s="2" t="str">
        <f t="shared" si="0"/>
        <v>S16</v>
      </c>
      <c r="D18" s="2" t="str">
        <f ca="1">IFERROR(IF(OFFSET(ref_tree_who!$A$1,MATCH(TRUE, ref_tree_who!$G:$G,0)-1,MATCH(ref_services!$B18,ref_tree_who!$2:$2,0)-1)="x",TRUE,""),"")</f>
        <v/>
      </c>
      <c r="E18" s="2" t="str">
        <f ca="1">IFERROR(IF(OFFSET(ref_tree_what!$A$1,MATCH(TRUE, ref_tree_what!$G:$G,0)-1,MATCH(ref_services!$C18,ref_tree_what!$2:$2,0)-1)="x",TRUE,""),"")</f>
        <v/>
      </c>
      <c r="F18" s="1" t="s">
        <v>173</v>
      </c>
      <c r="I18" s="41">
        <f ca="1">IFERROR(AVERAGE('Call Notes'!$G:$G),0)</f>
        <v>1</v>
      </c>
      <c r="J18" s="2" t="str">
        <f t="shared" ca="1" si="1"/>
        <v/>
      </c>
      <c r="M18" s="41">
        <f ca="1">IFERROR(AVERAGE('Call Notes'!$H:$H),0)</f>
        <v>1</v>
      </c>
      <c r="N18" s="2" t="str">
        <f t="shared" ca="1" si="2"/>
        <v/>
      </c>
      <c r="Q18" s="41">
        <f ca="1">IFERROR(AVERAGE('Call Notes'!$I:$I),0)</f>
        <v>2</v>
      </c>
      <c r="R18" s="2" t="str">
        <f t="shared" ca="1" si="3"/>
        <v/>
      </c>
      <c r="S18" s="2">
        <f ca="1">COUNTIFS($R$3:$R18,TRUE,$N$3:$N18,TRUE,$J$3:$J18,TRUE,$D$3:$D18,TRUE,$E$3:$E18,TRUE)</f>
        <v>2</v>
      </c>
    </row>
    <row r="19" spans="1:19" x14ac:dyDescent="0.25">
      <c r="A19" s="2" t="str">
        <f t="shared" si="0"/>
        <v>S17</v>
      </c>
      <c r="D19" s="2" t="str">
        <f ca="1">IFERROR(IF(OFFSET(ref_tree_who!$A$1,MATCH(TRUE, ref_tree_who!$G:$G,0)-1,MATCH(ref_services!$B19,ref_tree_who!$2:$2,0)-1)="x",TRUE,""),"")</f>
        <v/>
      </c>
      <c r="E19" s="2" t="str">
        <f ca="1">IFERROR(IF(OFFSET(ref_tree_what!$A$1,MATCH(TRUE, ref_tree_what!$G:$G,0)-1,MATCH(ref_services!$C19,ref_tree_what!$2:$2,0)-1)="x",TRUE,""),"")</f>
        <v/>
      </c>
      <c r="F19" s="1" t="s">
        <v>174</v>
      </c>
      <c r="I19" s="41">
        <f ca="1">IFERROR(AVERAGE('Call Notes'!$G:$G),0)</f>
        <v>1</v>
      </c>
      <c r="J19" s="2" t="str">
        <f t="shared" ca="1" si="1"/>
        <v/>
      </c>
      <c r="M19" s="41">
        <f ca="1">IFERROR(AVERAGE('Call Notes'!$H:$H),0)</f>
        <v>1</v>
      </c>
      <c r="N19" s="2" t="str">
        <f t="shared" ca="1" si="2"/>
        <v/>
      </c>
      <c r="Q19" s="41">
        <f ca="1">IFERROR(AVERAGE('Call Notes'!$I:$I),0)</f>
        <v>2</v>
      </c>
      <c r="R19" s="2" t="str">
        <f t="shared" ca="1" si="3"/>
        <v/>
      </c>
      <c r="S19" s="2">
        <f ca="1">COUNTIFS($R$3:$R19,TRUE,$N$3:$N19,TRUE,$J$3:$J19,TRUE,$D$3:$D19,TRUE,$E$3:$E19,TRUE)</f>
        <v>2</v>
      </c>
    </row>
    <row r="20" spans="1:19" x14ac:dyDescent="0.25">
      <c r="A20" s="2" t="str">
        <f t="shared" si="0"/>
        <v>S18</v>
      </c>
      <c r="D20" s="2" t="str">
        <f ca="1">IFERROR(IF(OFFSET(ref_tree_who!$A$1,MATCH(TRUE, ref_tree_who!$G:$G,0)-1,MATCH(ref_services!$B20,ref_tree_who!$2:$2,0)-1)="x",TRUE,""),"")</f>
        <v/>
      </c>
      <c r="E20" s="2" t="str">
        <f ca="1">IFERROR(IF(OFFSET(ref_tree_what!$A$1,MATCH(TRUE, ref_tree_what!$G:$G,0)-1,MATCH(ref_services!$C20,ref_tree_what!$2:$2,0)-1)="x",TRUE,""),"")</f>
        <v/>
      </c>
      <c r="F20" s="1" t="s">
        <v>175</v>
      </c>
      <c r="G20" s="2">
        <v>7</v>
      </c>
      <c r="H20" s="2">
        <v>10</v>
      </c>
      <c r="I20" s="41">
        <f ca="1">IFERROR(AVERAGE('Call Notes'!$G:$G),0)</f>
        <v>1</v>
      </c>
      <c r="J20" s="2" t="b">
        <f t="shared" ca="1" si="1"/>
        <v>1</v>
      </c>
      <c r="K20" s="2">
        <v>7</v>
      </c>
      <c r="L20" s="2">
        <v>10</v>
      </c>
      <c r="M20" s="41">
        <f ca="1">IFERROR(AVERAGE('Call Notes'!$H:$H),0)</f>
        <v>1</v>
      </c>
      <c r="N20" s="2" t="b">
        <f t="shared" ca="1" si="2"/>
        <v>1</v>
      </c>
      <c r="O20" s="2">
        <v>7</v>
      </c>
      <c r="P20" s="2">
        <v>10</v>
      </c>
      <c r="Q20" s="41">
        <f ca="1">IFERROR(AVERAGE('Call Notes'!$I:$I),0)</f>
        <v>2</v>
      </c>
      <c r="R20" s="2" t="b">
        <f t="shared" ca="1" si="3"/>
        <v>1</v>
      </c>
      <c r="S20" s="2">
        <f ca="1">COUNTIFS($R$3:$R20,TRUE,$N$3:$N20,TRUE,$J$3:$J20,TRUE,$D$3:$D20,TRUE,$E$3:$E20,TRUE)</f>
        <v>2</v>
      </c>
    </row>
    <row r="21" spans="1:19" x14ac:dyDescent="0.25">
      <c r="A21" s="2" t="str">
        <f t="shared" si="0"/>
        <v>S19</v>
      </c>
      <c r="D21" s="2" t="str">
        <f ca="1">IFERROR(IF(OFFSET(ref_tree_who!$A$1,MATCH(TRUE, ref_tree_who!$G:$G,0)-1,MATCH(ref_services!$B21,ref_tree_who!$2:$2,0)-1)="x",TRUE,""),"")</f>
        <v/>
      </c>
      <c r="E21" s="2" t="str">
        <f ca="1">IFERROR(IF(OFFSET(ref_tree_what!$A$1,MATCH(TRUE, ref_tree_what!$G:$G,0)-1,MATCH(ref_services!$C21,ref_tree_what!$2:$2,0)-1)="x",TRUE,""),"")</f>
        <v/>
      </c>
      <c r="F21" s="1" t="s">
        <v>176</v>
      </c>
      <c r="I21" s="41">
        <f ca="1">IFERROR(AVERAGE('Call Notes'!$G:$G),0)</f>
        <v>1</v>
      </c>
      <c r="J21" s="2" t="str">
        <f t="shared" ca="1" si="1"/>
        <v/>
      </c>
      <c r="M21" s="41">
        <f ca="1">IFERROR(AVERAGE('Call Notes'!$H:$H),0)</f>
        <v>1</v>
      </c>
      <c r="N21" s="2" t="str">
        <f t="shared" ca="1" si="2"/>
        <v/>
      </c>
      <c r="Q21" s="41">
        <f ca="1">IFERROR(AVERAGE('Call Notes'!$I:$I),0)</f>
        <v>2</v>
      </c>
      <c r="R21" s="2" t="str">
        <f t="shared" ca="1" si="3"/>
        <v/>
      </c>
      <c r="S21" s="2">
        <f ca="1">COUNTIFS($R$3:$R21,TRUE,$N$3:$N21,TRUE,$J$3:$J21,TRUE,$D$3:$D21,TRUE,$E$3:$E21,TRUE)</f>
        <v>2</v>
      </c>
    </row>
    <row r="22" spans="1:19" x14ac:dyDescent="0.25">
      <c r="A22" s="2" t="str">
        <f t="shared" si="0"/>
        <v>S20</v>
      </c>
      <c r="D22" s="2" t="str">
        <f ca="1">IFERROR(IF(OFFSET(ref_tree_who!$A$1,MATCH(TRUE, ref_tree_who!$G:$G,0)-1,MATCH(ref_services!$B22,ref_tree_who!$2:$2,0)-1)="x",TRUE,""),"")</f>
        <v/>
      </c>
      <c r="E22" s="2" t="str">
        <f ca="1">IFERROR(IF(OFFSET(ref_tree_what!$A$1,MATCH(TRUE, ref_tree_what!$G:$G,0)-1,MATCH(ref_services!$C22,ref_tree_what!$2:$2,0)-1)="x",TRUE,""),"")</f>
        <v/>
      </c>
      <c r="F22" s="1" t="s">
        <v>177</v>
      </c>
      <c r="I22" s="41">
        <f ca="1">IFERROR(AVERAGE('Call Notes'!$G:$G),0)</f>
        <v>1</v>
      </c>
      <c r="J22" s="2" t="str">
        <f t="shared" ca="1" si="1"/>
        <v/>
      </c>
      <c r="M22" s="41">
        <f ca="1">IFERROR(AVERAGE('Call Notes'!$H:$H),0)</f>
        <v>1</v>
      </c>
      <c r="N22" s="2" t="str">
        <f t="shared" ca="1" si="2"/>
        <v/>
      </c>
      <c r="Q22" s="41">
        <f ca="1">IFERROR(AVERAGE('Call Notes'!$I:$I),0)</f>
        <v>2</v>
      </c>
      <c r="R22" s="2" t="str">
        <f t="shared" ca="1" si="3"/>
        <v/>
      </c>
      <c r="S22" s="2">
        <f ca="1">COUNTIFS($R$3:$R22,TRUE,$N$3:$N22,TRUE,$J$3:$J22,TRUE,$D$3:$D22,TRUE,$E$3:$E22,TRUE)</f>
        <v>2</v>
      </c>
    </row>
    <row r="23" spans="1:19" x14ac:dyDescent="0.25">
      <c r="A23" s="2" t="str">
        <f t="shared" si="0"/>
        <v>S21</v>
      </c>
      <c r="D23" s="2" t="str">
        <f ca="1">IFERROR(IF(OFFSET(ref_tree_who!$A$1,MATCH(TRUE, ref_tree_who!$G:$G,0)-1,MATCH(ref_services!$B23,ref_tree_who!$2:$2,0)-1)="x",TRUE,""),"")</f>
        <v/>
      </c>
      <c r="E23" s="2" t="str">
        <f ca="1">IFERROR(IF(OFFSET(ref_tree_what!$A$1,MATCH(TRUE, ref_tree_what!$G:$G,0)-1,MATCH(ref_services!$C23,ref_tree_what!$2:$2,0)-1)="x",TRUE,""),"")</f>
        <v/>
      </c>
      <c r="F23" s="1" t="s">
        <v>178</v>
      </c>
      <c r="G23" s="2">
        <v>5</v>
      </c>
      <c r="H23" s="2">
        <v>7</v>
      </c>
      <c r="I23" s="41">
        <f ca="1">IFERROR(AVERAGE('Call Notes'!$G:$G),0)</f>
        <v>1</v>
      </c>
      <c r="J23" s="2" t="b">
        <f t="shared" ca="1" si="1"/>
        <v>1</v>
      </c>
      <c r="K23" s="2">
        <v>5</v>
      </c>
      <c r="L23" s="2">
        <v>7</v>
      </c>
      <c r="M23" s="41">
        <f ca="1">IFERROR(AVERAGE('Call Notes'!$H:$H),0)</f>
        <v>1</v>
      </c>
      <c r="N23" s="2" t="b">
        <f t="shared" ca="1" si="2"/>
        <v>1</v>
      </c>
      <c r="O23" s="2">
        <v>5</v>
      </c>
      <c r="P23" s="2">
        <v>7</v>
      </c>
      <c r="Q23" s="41">
        <f ca="1">IFERROR(AVERAGE('Call Notes'!$I:$I),0)</f>
        <v>2</v>
      </c>
      <c r="R23" s="2" t="b">
        <f t="shared" ca="1" si="3"/>
        <v>1</v>
      </c>
      <c r="S23" s="2">
        <f ca="1">COUNTIFS($R$3:$R23,TRUE,$N$3:$N23,TRUE,$J$3:$J23,TRUE,$D$3:$D23,TRUE,$E$3:$E23,TRUE)</f>
        <v>2</v>
      </c>
    </row>
    <row r="24" spans="1:19" x14ac:dyDescent="0.25">
      <c r="A24" s="2" t="str">
        <f t="shared" si="0"/>
        <v>S22</v>
      </c>
      <c r="D24" s="2" t="str">
        <f ca="1">IFERROR(IF(OFFSET(ref_tree_who!$A$1,MATCH(TRUE, ref_tree_who!$G:$G,0)-1,MATCH(ref_services!$B24,ref_tree_who!$2:$2,0)-1)="x",TRUE,""),"")</f>
        <v/>
      </c>
      <c r="E24" s="2" t="str">
        <f ca="1">IFERROR(IF(OFFSET(ref_tree_what!$A$1,MATCH(TRUE, ref_tree_what!$G:$G,0)-1,MATCH(ref_services!$C24,ref_tree_what!$2:$2,0)-1)="x",TRUE,""),"")</f>
        <v/>
      </c>
      <c r="F24" s="1" t="s">
        <v>179</v>
      </c>
      <c r="I24" s="41">
        <f ca="1">IFERROR(AVERAGE('Call Notes'!$G:$G),0)</f>
        <v>1</v>
      </c>
      <c r="J24" s="2" t="str">
        <f t="shared" ca="1" si="1"/>
        <v/>
      </c>
      <c r="M24" s="41">
        <f ca="1">IFERROR(AVERAGE('Call Notes'!$H:$H),0)</f>
        <v>1</v>
      </c>
      <c r="N24" s="2" t="str">
        <f t="shared" ca="1" si="2"/>
        <v/>
      </c>
      <c r="Q24" s="41">
        <f ca="1">IFERROR(AVERAGE('Call Notes'!$I:$I),0)</f>
        <v>2</v>
      </c>
      <c r="R24" s="2" t="str">
        <f t="shared" ca="1" si="3"/>
        <v/>
      </c>
      <c r="S24" s="2">
        <f ca="1">COUNTIFS($R$3:$R24,TRUE,$N$3:$N24,TRUE,$J$3:$J24,TRUE,$D$3:$D24,TRUE,$E$3:$E24,TRUE)</f>
        <v>2</v>
      </c>
    </row>
    <row r="25" spans="1:19" x14ac:dyDescent="0.25">
      <c r="A25" s="2" t="str">
        <f t="shared" si="0"/>
        <v>S23</v>
      </c>
      <c r="D25" s="2" t="str">
        <f ca="1">IFERROR(IF(OFFSET(ref_tree_who!$A$1,MATCH(TRUE, ref_tree_who!$G:$G,0)-1,MATCH(ref_services!$B25,ref_tree_who!$2:$2,0)-1)="x",TRUE,""),"")</f>
        <v/>
      </c>
      <c r="E25" s="2" t="str">
        <f ca="1">IFERROR(IF(OFFSET(ref_tree_what!$A$1,MATCH(TRUE, ref_tree_what!$G:$G,0)-1,MATCH(ref_services!$C25,ref_tree_what!$2:$2,0)-1)="x",TRUE,""),"")</f>
        <v/>
      </c>
      <c r="F25" s="1" t="s">
        <v>180</v>
      </c>
      <c r="I25" s="41">
        <f ca="1">IFERROR(AVERAGE('Call Notes'!$G:$G),0)</f>
        <v>1</v>
      </c>
      <c r="J25" s="2" t="str">
        <f t="shared" ca="1" si="1"/>
        <v/>
      </c>
      <c r="M25" s="41">
        <f ca="1">IFERROR(AVERAGE('Call Notes'!$H:$H),0)</f>
        <v>1</v>
      </c>
      <c r="N25" s="2" t="str">
        <f t="shared" ca="1" si="2"/>
        <v/>
      </c>
      <c r="Q25" s="41">
        <f ca="1">IFERROR(AVERAGE('Call Notes'!$I:$I),0)</f>
        <v>2</v>
      </c>
      <c r="R25" s="2" t="str">
        <f t="shared" ca="1" si="3"/>
        <v/>
      </c>
      <c r="S25" s="2">
        <f ca="1">COUNTIFS($R$3:$R25,TRUE,$N$3:$N25,TRUE,$J$3:$J25,TRUE,$D$3:$D25,TRUE,$E$3:$E25,TRUE)</f>
        <v>2</v>
      </c>
    </row>
    <row r="26" spans="1:19" x14ac:dyDescent="0.25">
      <c r="A26" s="2" t="str">
        <f t="shared" si="0"/>
        <v>S24</v>
      </c>
      <c r="D26" s="2" t="str">
        <f ca="1">IFERROR(IF(OFFSET(ref_tree_who!$A$1,MATCH(TRUE, ref_tree_who!$G:$G,0)-1,MATCH(ref_services!$B26,ref_tree_who!$2:$2,0)-1)="x",TRUE,""),"")</f>
        <v/>
      </c>
      <c r="E26" s="2" t="str">
        <f ca="1">IFERROR(IF(OFFSET(ref_tree_what!$A$1,MATCH(TRUE, ref_tree_what!$G:$G,0)-1,MATCH(ref_services!$C26,ref_tree_what!$2:$2,0)-1)="x",TRUE,""),"")</f>
        <v/>
      </c>
      <c r="F26" s="1" t="s">
        <v>181</v>
      </c>
      <c r="G26" s="2">
        <v>2</v>
      </c>
      <c r="H26" s="2">
        <v>5</v>
      </c>
      <c r="I26" s="41">
        <f ca="1">IFERROR(AVERAGE('Call Notes'!$G:$G),0)</f>
        <v>1</v>
      </c>
      <c r="J26" s="2" t="b">
        <f t="shared" ca="1" si="1"/>
        <v>1</v>
      </c>
      <c r="K26" s="2">
        <v>2</v>
      </c>
      <c r="L26" s="2">
        <v>5</v>
      </c>
      <c r="M26" s="41">
        <f ca="1">IFERROR(AVERAGE('Call Notes'!$H:$H),0)</f>
        <v>1</v>
      </c>
      <c r="N26" s="2" t="b">
        <f t="shared" ca="1" si="2"/>
        <v>1</v>
      </c>
      <c r="O26" s="2">
        <v>2</v>
      </c>
      <c r="P26" s="2">
        <v>5</v>
      </c>
      <c r="Q26" s="41">
        <f ca="1">IFERROR(AVERAGE('Call Notes'!$I:$I),0)</f>
        <v>2</v>
      </c>
      <c r="R26" s="2" t="b">
        <f t="shared" ca="1" si="3"/>
        <v>1</v>
      </c>
      <c r="S26" s="2">
        <f ca="1">COUNTIFS($R$3:$R26,TRUE,$N$3:$N26,TRUE,$J$3:$J26,TRUE,$D$3:$D26,TRUE,$E$3:$E26,TRUE)</f>
        <v>2</v>
      </c>
    </row>
    <row r="27" spans="1:19" x14ac:dyDescent="0.25">
      <c r="A27" s="2" t="str">
        <f t="shared" si="0"/>
        <v>S25</v>
      </c>
      <c r="D27" s="2" t="str">
        <f ca="1">IFERROR(IF(OFFSET(ref_tree_who!$A$1,MATCH(TRUE, ref_tree_who!$G:$G,0)-1,MATCH(ref_services!$B27,ref_tree_who!$2:$2,0)-1)="x",TRUE,""),"")</f>
        <v/>
      </c>
      <c r="E27" s="2" t="str">
        <f ca="1">IFERROR(IF(OFFSET(ref_tree_what!$A$1,MATCH(TRUE, ref_tree_what!$G:$G,0)-1,MATCH(ref_services!$C27,ref_tree_what!$2:$2,0)-1)="x",TRUE,""),"")</f>
        <v/>
      </c>
      <c r="F27" s="1" t="s">
        <v>182</v>
      </c>
      <c r="I27" s="41">
        <f ca="1">IFERROR(AVERAGE('Call Notes'!$G:$G),0)</f>
        <v>1</v>
      </c>
      <c r="J27" s="2" t="str">
        <f t="shared" ca="1" si="1"/>
        <v/>
      </c>
      <c r="M27" s="41">
        <f ca="1">IFERROR(AVERAGE('Call Notes'!$H:$H),0)</f>
        <v>1</v>
      </c>
      <c r="N27" s="2" t="str">
        <f t="shared" ca="1" si="2"/>
        <v/>
      </c>
      <c r="Q27" s="41">
        <f ca="1">IFERROR(AVERAGE('Call Notes'!$I:$I),0)</f>
        <v>2</v>
      </c>
      <c r="R27" s="2" t="str">
        <f t="shared" ca="1" si="3"/>
        <v/>
      </c>
      <c r="S27" s="2">
        <f ca="1">COUNTIFS($R$3:$R27,TRUE,$N$3:$N27,TRUE,$J$3:$J27,TRUE,$D$3:$D27,TRUE,$E$3:$E27,TRUE)</f>
        <v>2</v>
      </c>
    </row>
    <row r="28" spans="1:19" x14ac:dyDescent="0.25">
      <c r="A28" s="2" t="str">
        <f t="shared" si="0"/>
        <v>S26</v>
      </c>
      <c r="D28" s="2" t="str">
        <f ca="1">IFERROR(IF(OFFSET(ref_tree_who!$A$1,MATCH(TRUE, ref_tree_who!$G:$G,0)-1,MATCH(ref_services!$B28,ref_tree_who!$2:$2,0)-1)="x",TRUE,""),"")</f>
        <v/>
      </c>
      <c r="E28" s="2" t="str">
        <f ca="1">IFERROR(IF(OFFSET(ref_tree_what!$A$1,MATCH(TRUE, ref_tree_what!$G:$G,0)-1,MATCH(ref_services!$C28,ref_tree_what!$2:$2,0)-1)="x",TRUE,""),"")</f>
        <v/>
      </c>
      <c r="F28" s="1" t="s">
        <v>183</v>
      </c>
      <c r="I28" s="41">
        <f ca="1">IFERROR(AVERAGE('Call Notes'!$G:$G),0)</f>
        <v>1</v>
      </c>
      <c r="J28" s="2" t="str">
        <f t="shared" ca="1" si="1"/>
        <v/>
      </c>
      <c r="M28" s="41">
        <f ca="1">IFERROR(AVERAGE('Call Notes'!$H:$H),0)</f>
        <v>1</v>
      </c>
      <c r="N28" s="2" t="str">
        <f t="shared" ca="1" si="2"/>
        <v/>
      </c>
      <c r="Q28" s="41">
        <f ca="1">IFERROR(AVERAGE('Call Notes'!$I:$I),0)</f>
        <v>2</v>
      </c>
      <c r="R28" s="2" t="str">
        <f t="shared" ca="1" si="3"/>
        <v/>
      </c>
      <c r="S28" s="2">
        <f ca="1">COUNTIFS($R$3:$R28,TRUE,$N$3:$N28,TRUE,$J$3:$J28,TRUE,$D$3:$D28,TRUE,$E$3:$E28,TRUE)</f>
        <v>2</v>
      </c>
    </row>
    <row r="29" spans="1:19" x14ac:dyDescent="0.25">
      <c r="A29" s="2" t="str">
        <f t="shared" si="0"/>
        <v>S27</v>
      </c>
      <c r="D29" s="2" t="str">
        <f ca="1">IFERROR(IF(OFFSET(ref_tree_who!$A$1,MATCH(TRUE, ref_tree_who!$G:$G,0)-1,MATCH(ref_services!$B29,ref_tree_who!$2:$2,0)-1)="x",TRUE,""),"")</f>
        <v/>
      </c>
      <c r="E29" s="2" t="str">
        <f ca="1">IFERROR(IF(OFFSET(ref_tree_what!$A$1,MATCH(TRUE, ref_tree_what!$G:$G,0)-1,MATCH(ref_services!$C29,ref_tree_what!$2:$2,0)-1)="x",TRUE,""),"")</f>
        <v/>
      </c>
      <c r="F29" s="1" t="s">
        <v>184</v>
      </c>
      <c r="G29" s="2">
        <v>7</v>
      </c>
      <c r="H29" s="2">
        <v>10</v>
      </c>
      <c r="I29" s="41">
        <f ca="1">IFERROR(AVERAGE('Call Notes'!$G:$G),0)</f>
        <v>1</v>
      </c>
      <c r="J29" s="2" t="b">
        <f t="shared" ca="1" si="1"/>
        <v>1</v>
      </c>
      <c r="K29" s="2">
        <v>7</v>
      </c>
      <c r="L29" s="2">
        <v>10</v>
      </c>
      <c r="M29" s="41">
        <f ca="1">IFERROR(AVERAGE('Call Notes'!$H:$H),0)</f>
        <v>1</v>
      </c>
      <c r="N29" s="2" t="b">
        <f t="shared" ca="1" si="2"/>
        <v>1</v>
      </c>
      <c r="O29" s="2">
        <v>7</v>
      </c>
      <c r="P29" s="2">
        <v>10</v>
      </c>
      <c r="Q29" s="41">
        <f ca="1">IFERROR(AVERAGE('Call Notes'!$I:$I),0)</f>
        <v>2</v>
      </c>
      <c r="R29" s="2" t="b">
        <f t="shared" ca="1" si="3"/>
        <v>1</v>
      </c>
      <c r="S29" s="2">
        <f ca="1">COUNTIFS($R$3:$R29,TRUE,$N$3:$N29,TRUE,$J$3:$J29,TRUE,$D$3:$D29,TRUE,$E$3:$E29,TRUE)</f>
        <v>2</v>
      </c>
    </row>
    <row r="30" spans="1:19" x14ac:dyDescent="0.25">
      <c r="A30" s="2" t="str">
        <f t="shared" si="0"/>
        <v>S28</v>
      </c>
      <c r="D30" s="2" t="str">
        <f ca="1">IFERROR(IF(OFFSET(ref_tree_who!$A$1,MATCH(TRUE, ref_tree_who!$G:$G,0)-1,MATCH(ref_services!$B30,ref_tree_who!$2:$2,0)-1)="x",TRUE,""),"")</f>
        <v/>
      </c>
      <c r="E30" s="2" t="str">
        <f ca="1">IFERROR(IF(OFFSET(ref_tree_what!$A$1,MATCH(TRUE, ref_tree_what!$G:$G,0)-1,MATCH(ref_services!$C30,ref_tree_what!$2:$2,0)-1)="x",TRUE,""),"")</f>
        <v/>
      </c>
      <c r="F30" s="1" t="s">
        <v>185</v>
      </c>
      <c r="I30" s="41">
        <f ca="1">IFERROR(AVERAGE('Call Notes'!$G:$G),0)</f>
        <v>1</v>
      </c>
      <c r="J30" s="2" t="str">
        <f t="shared" ca="1" si="1"/>
        <v/>
      </c>
      <c r="M30" s="41">
        <f ca="1">IFERROR(AVERAGE('Call Notes'!$H:$H),0)</f>
        <v>1</v>
      </c>
      <c r="N30" s="2" t="str">
        <f t="shared" ca="1" si="2"/>
        <v/>
      </c>
      <c r="Q30" s="41">
        <f ca="1">IFERROR(AVERAGE('Call Notes'!$I:$I),0)</f>
        <v>2</v>
      </c>
      <c r="R30" s="2" t="str">
        <f t="shared" ca="1" si="3"/>
        <v/>
      </c>
      <c r="S30" s="2">
        <f ca="1">COUNTIFS($R$3:$R30,TRUE,$N$3:$N30,TRUE,$J$3:$J30,TRUE,$D$3:$D30,TRUE,$E$3:$E30,TRUE)</f>
        <v>2</v>
      </c>
    </row>
    <row r="31" spans="1:19" x14ac:dyDescent="0.25">
      <c r="A31" s="2" t="str">
        <f t="shared" si="0"/>
        <v>S29</v>
      </c>
      <c r="D31" s="2" t="str">
        <f ca="1">IFERROR(IF(OFFSET(ref_tree_who!$A$1,MATCH(TRUE, ref_tree_who!$G:$G,0)-1,MATCH(ref_services!$B31,ref_tree_who!$2:$2,0)-1)="x",TRUE,""),"")</f>
        <v/>
      </c>
      <c r="E31" s="2" t="str">
        <f ca="1">IFERROR(IF(OFFSET(ref_tree_what!$A$1,MATCH(TRUE, ref_tree_what!$G:$G,0)-1,MATCH(ref_services!$C31,ref_tree_what!$2:$2,0)-1)="x",TRUE,""),"")</f>
        <v/>
      </c>
      <c r="F31" s="1" t="s">
        <v>186</v>
      </c>
      <c r="I31" s="41">
        <f ca="1">IFERROR(AVERAGE('Call Notes'!$G:$G),0)</f>
        <v>1</v>
      </c>
      <c r="J31" s="2" t="str">
        <f t="shared" ca="1" si="1"/>
        <v/>
      </c>
      <c r="M31" s="41">
        <f ca="1">IFERROR(AVERAGE('Call Notes'!$H:$H),0)</f>
        <v>1</v>
      </c>
      <c r="N31" s="2" t="str">
        <f t="shared" ca="1" si="2"/>
        <v/>
      </c>
      <c r="Q31" s="41">
        <f ca="1">IFERROR(AVERAGE('Call Notes'!$I:$I),0)</f>
        <v>2</v>
      </c>
      <c r="R31" s="2" t="str">
        <f t="shared" ca="1" si="3"/>
        <v/>
      </c>
      <c r="S31" s="2">
        <f ca="1">COUNTIFS($R$3:$R31,TRUE,$N$3:$N31,TRUE,$J$3:$J31,TRUE,$D$3:$D31,TRUE,$E$3:$E31,TRUE)</f>
        <v>2</v>
      </c>
    </row>
    <row r="32" spans="1:19" x14ac:dyDescent="0.25">
      <c r="A32" s="2" t="str">
        <f t="shared" si="0"/>
        <v>S30</v>
      </c>
      <c r="D32" s="2" t="str">
        <f ca="1">IFERROR(IF(OFFSET(ref_tree_who!$A$1,MATCH(TRUE, ref_tree_who!$G:$G,0)-1,MATCH(ref_services!$B32,ref_tree_who!$2:$2,0)-1)="x",TRUE,""),"")</f>
        <v/>
      </c>
      <c r="E32" s="2" t="str">
        <f ca="1">IFERROR(IF(OFFSET(ref_tree_what!$A$1,MATCH(TRUE, ref_tree_what!$G:$G,0)-1,MATCH(ref_services!$C32,ref_tree_what!$2:$2,0)-1)="x",TRUE,""),"")</f>
        <v/>
      </c>
      <c r="F32" s="1" t="s">
        <v>187</v>
      </c>
      <c r="G32" s="2">
        <v>5</v>
      </c>
      <c r="H32" s="2">
        <v>7</v>
      </c>
      <c r="I32" s="41">
        <f ca="1">IFERROR(AVERAGE('Call Notes'!$G:$G),0)</f>
        <v>1</v>
      </c>
      <c r="J32" s="2" t="b">
        <f t="shared" ca="1" si="1"/>
        <v>1</v>
      </c>
      <c r="K32" s="2">
        <v>5</v>
      </c>
      <c r="L32" s="2">
        <v>7</v>
      </c>
      <c r="M32" s="41">
        <f ca="1">IFERROR(AVERAGE('Call Notes'!$H:$H),0)</f>
        <v>1</v>
      </c>
      <c r="N32" s="2" t="b">
        <f t="shared" ca="1" si="2"/>
        <v>1</v>
      </c>
      <c r="O32" s="2">
        <v>5</v>
      </c>
      <c r="P32" s="2">
        <v>7</v>
      </c>
      <c r="Q32" s="41">
        <f ca="1">IFERROR(AVERAGE('Call Notes'!$I:$I),0)</f>
        <v>2</v>
      </c>
      <c r="R32" s="2" t="b">
        <f t="shared" ca="1" si="3"/>
        <v>1</v>
      </c>
      <c r="S32" s="2">
        <f ca="1">COUNTIFS($R$3:$R32,TRUE,$N$3:$N32,TRUE,$J$3:$J32,TRUE,$D$3:$D32,TRUE,$E$3:$E32,TRUE)</f>
        <v>2</v>
      </c>
    </row>
    <row r="33" spans="1:19" x14ac:dyDescent="0.25">
      <c r="A33" s="2" t="str">
        <f t="shared" si="0"/>
        <v>S31</v>
      </c>
      <c r="D33" s="2" t="str">
        <f ca="1">IFERROR(IF(OFFSET(ref_tree_who!$A$1,MATCH(TRUE, ref_tree_who!$G:$G,0)-1,MATCH(ref_services!$B33,ref_tree_who!$2:$2,0)-1)="x",TRUE,""),"")</f>
        <v/>
      </c>
      <c r="E33" s="2" t="str">
        <f ca="1">IFERROR(IF(OFFSET(ref_tree_what!$A$1,MATCH(TRUE, ref_tree_what!$G:$G,0)-1,MATCH(ref_services!$C33,ref_tree_what!$2:$2,0)-1)="x",TRUE,""),"")</f>
        <v/>
      </c>
      <c r="F33" s="1" t="s">
        <v>188</v>
      </c>
      <c r="I33" s="41">
        <f ca="1">IFERROR(AVERAGE('Call Notes'!$G:$G),0)</f>
        <v>1</v>
      </c>
      <c r="J33" s="2" t="str">
        <f t="shared" ca="1" si="1"/>
        <v/>
      </c>
      <c r="M33" s="41">
        <f ca="1">IFERROR(AVERAGE('Call Notes'!$H:$H),0)</f>
        <v>1</v>
      </c>
      <c r="N33" s="2" t="str">
        <f t="shared" ca="1" si="2"/>
        <v/>
      </c>
      <c r="Q33" s="41">
        <f ca="1">IFERROR(AVERAGE('Call Notes'!$I:$I),0)</f>
        <v>2</v>
      </c>
      <c r="R33" s="2" t="str">
        <f t="shared" ca="1" si="3"/>
        <v/>
      </c>
      <c r="S33" s="2">
        <f ca="1">COUNTIFS($R$3:$R33,TRUE,$N$3:$N33,TRUE,$J$3:$J33,TRUE,$D$3:$D33,TRUE,$E$3:$E33,TRUE)</f>
        <v>2</v>
      </c>
    </row>
    <row r="34" spans="1:19" x14ac:dyDescent="0.25">
      <c r="A34" s="2" t="str">
        <f t="shared" si="0"/>
        <v>S32</v>
      </c>
      <c r="D34" s="2" t="str">
        <f ca="1">IFERROR(IF(OFFSET(ref_tree_who!$A$1,MATCH(TRUE, ref_tree_who!$G:$G,0)-1,MATCH(ref_services!$B34,ref_tree_who!$2:$2,0)-1)="x",TRUE,""),"")</f>
        <v/>
      </c>
      <c r="E34" s="2" t="str">
        <f ca="1">IFERROR(IF(OFFSET(ref_tree_what!$A$1,MATCH(TRUE, ref_tree_what!$G:$G,0)-1,MATCH(ref_services!$C34,ref_tree_what!$2:$2,0)-1)="x",TRUE,""),"")</f>
        <v/>
      </c>
      <c r="F34" s="1" t="s">
        <v>189</v>
      </c>
      <c r="I34" s="41">
        <f ca="1">IFERROR(AVERAGE('Call Notes'!$G:$G),0)</f>
        <v>1</v>
      </c>
      <c r="J34" s="2" t="str">
        <f t="shared" ca="1" si="1"/>
        <v/>
      </c>
      <c r="M34" s="41">
        <f ca="1">IFERROR(AVERAGE('Call Notes'!$H:$H),0)</f>
        <v>1</v>
      </c>
      <c r="N34" s="2" t="str">
        <f t="shared" ca="1" si="2"/>
        <v/>
      </c>
      <c r="Q34" s="41">
        <f ca="1">IFERROR(AVERAGE('Call Notes'!$I:$I),0)</f>
        <v>2</v>
      </c>
      <c r="R34" s="2" t="str">
        <f t="shared" ca="1" si="3"/>
        <v/>
      </c>
      <c r="S34" s="2">
        <f ca="1">COUNTIFS($R$3:$R34,TRUE,$N$3:$N34,TRUE,$J$3:$J34,TRUE,$D$3:$D34,TRUE,$E$3:$E34,TRUE)</f>
        <v>2</v>
      </c>
    </row>
    <row r="35" spans="1:19" x14ac:dyDescent="0.25">
      <c r="A35" s="2" t="str">
        <f t="shared" si="0"/>
        <v>S33</v>
      </c>
      <c r="D35" s="2" t="str">
        <f ca="1">IFERROR(IF(OFFSET(ref_tree_who!$A$1,MATCH(TRUE, ref_tree_who!$G:$G,0)-1,MATCH(ref_services!$B35,ref_tree_who!$2:$2,0)-1)="x",TRUE,""),"")</f>
        <v/>
      </c>
      <c r="E35" s="2" t="str">
        <f ca="1">IFERROR(IF(OFFSET(ref_tree_what!$A$1,MATCH(TRUE, ref_tree_what!$G:$G,0)-1,MATCH(ref_services!$C35,ref_tree_what!$2:$2,0)-1)="x",TRUE,""),"")</f>
        <v/>
      </c>
      <c r="F35" s="1" t="s">
        <v>190</v>
      </c>
      <c r="G35" s="2">
        <v>2</v>
      </c>
      <c r="H35" s="2">
        <v>5</v>
      </c>
      <c r="I35" s="41">
        <f ca="1">IFERROR(AVERAGE('Call Notes'!$G:$G),0)</f>
        <v>1</v>
      </c>
      <c r="J35" s="2" t="b">
        <f t="shared" ca="1" si="1"/>
        <v>1</v>
      </c>
      <c r="K35" s="2">
        <v>2</v>
      </c>
      <c r="L35" s="2">
        <v>5</v>
      </c>
      <c r="M35" s="41">
        <f ca="1">IFERROR(AVERAGE('Call Notes'!$H:$H),0)</f>
        <v>1</v>
      </c>
      <c r="N35" s="2" t="b">
        <f t="shared" ca="1" si="2"/>
        <v>1</v>
      </c>
      <c r="O35" s="2">
        <v>2</v>
      </c>
      <c r="P35" s="2">
        <v>5</v>
      </c>
      <c r="Q35" s="41">
        <f ca="1">IFERROR(AVERAGE('Call Notes'!$I:$I),0)</f>
        <v>2</v>
      </c>
      <c r="R35" s="2" t="b">
        <f t="shared" ca="1" si="3"/>
        <v>1</v>
      </c>
      <c r="S35" s="2">
        <f ca="1">COUNTIFS($R$3:$R35,TRUE,$N$3:$N35,TRUE,$J$3:$J35,TRUE,$D$3:$D35,TRUE,$E$3:$E35,TRUE)</f>
        <v>2</v>
      </c>
    </row>
    <row r="36" spans="1:19" x14ac:dyDescent="0.25">
      <c r="A36" s="2" t="str">
        <f t="shared" si="0"/>
        <v>S34</v>
      </c>
      <c r="D36" s="2" t="str">
        <f ca="1">IFERROR(IF(OFFSET(ref_tree_who!$A$1,MATCH(TRUE, ref_tree_who!$G:$G,0)-1,MATCH(ref_services!$B36,ref_tree_who!$2:$2,0)-1)="x",TRUE,""),"")</f>
        <v/>
      </c>
      <c r="E36" s="2" t="str">
        <f ca="1">IFERROR(IF(OFFSET(ref_tree_what!$A$1,MATCH(TRUE, ref_tree_what!$G:$G,0)-1,MATCH(ref_services!$C36,ref_tree_what!$2:$2,0)-1)="x",TRUE,""),"")</f>
        <v/>
      </c>
      <c r="F36" s="1" t="s">
        <v>191</v>
      </c>
      <c r="I36" s="41">
        <f ca="1">IFERROR(AVERAGE('Call Notes'!$G:$G),0)</f>
        <v>1</v>
      </c>
      <c r="J36" s="2" t="str">
        <f t="shared" ca="1" si="1"/>
        <v/>
      </c>
      <c r="M36" s="41">
        <f ca="1">IFERROR(AVERAGE('Call Notes'!$H:$H),0)</f>
        <v>1</v>
      </c>
      <c r="N36" s="2" t="str">
        <f t="shared" ca="1" si="2"/>
        <v/>
      </c>
      <c r="Q36" s="41">
        <f ca="1">IFERROR(AVERAGE('Call Notes'!$I:$I),0)</f>
        <v>2</v>
      </c>
      <c r="R36" s="2" t="str">
        <f t="shared" ca="1" si="3"/>
        <v/>
      </c>
      <c r="S36" s="2">
        <f ca="1">COUNTIFS($R$3:$R36,TRUE,$N$3:$N36,TRUE,$J$3:$J36,TRUE,$D$3:$D36,TRUE,$E$3:$E36,TRUE)</f>
        <v>2</v>
      </c>
    </row>
    <row r="37" spans="1:19" x14ac:dyDescent="0.25">
      <c r="A37" s="2" t="str">
        <f t="shared" si="0"/>
        <v>S35</v>
      </c>
      <c r="D37" s="2" t="str">
        <f ca="1">IFERROR(IF(OFFSET(ref_tree_who!$A$1,MATCH(TRUE, ref_tree_who!$G:$G,0)-1,MATCH(ref_services!$B37,ref_tree_who!$2:$2,0)-1)="x",TRUE,""),"")</f>
        <v/>
      </c>
      <c r="E37" s="2" t="str">
        <f ca="1">IFERROR(IF(OFFSET(ref_tree_what!$A$1,MATCH(TRUE, ref_tree_what!$G:$G,0)-1,MATCH(ref_services!$C37,ref_tree_what!$2:$2,0)-1)="x",TRUE,""),"")</f>
        <v/>
      </c>
      <c r="F37" s="1" t="s">
        <v>192</v>
      </c>
      <c r="I37" s="41">
        <f ca="1">IFERROR(AVERAGE('Call Notes'!$G:$G),0)</f>
        <v>1</v>
      </c>
      <c r="J37" s="2" t="str">
        <f t="shared" ca="1" si="1"/>
        <v/>
      </c>
      <c r="M37" s="41">
        <f ca="1">IFERROR(AVERAGE('Call Notes'!$H:$H),0)</f>
        <v>1</v>
      </c>
      <c r="N37" s="2" t="str">
        <f t="shared" ca="1" si="2"/>
        <v/>
      </c>
      <c r="Q37" s="41">
        <f ca="1">IFERROR(AVERAGE('Call Notes'!$I:$I),0)</f>
        <v>2</v>
      </c>
      <c r="R37" s="2" t="str">
        <f t="shared" ca="1" si="3"/>
        <v/>
      </c>
      <c r="S37" s="2">
        <f ca="1">COUNTIFS($R$3:$R37,TRUE,$N$3:$N37,TRUE,$J$3:$J37,TRUE,$D$3:$D37,TRUE,$E$3:$E37,TRUE)</f>
        <v>2</v>
      </c>
    </row>
    <row r="38" spans="1:19" x14ac:dyDescent="0.25">
      <c r="A38" s="2" t="str">
        <f t="shared" si="0"/>
        <v>S36</v>
      </c>
      <c r="D38" s="2" t="str">
        <f ca="1">IFERROR(IF(OFFSET(ref_tree_who!$A$1,MATCH(TRUE, ref_tree_who!$G:$G,0)-1,MATCH(ref_services!$B38,ref_tree_who!$2:$2,0)-1)="x",TRUE,""),"")</f>
        <v/>
      </c>
      <c r="E38" s="2" t="str">
        <f ca="1">IFERROR(IF(OFFSET(ref_tree_what!$A$1,MATCH(TRUE, ref_tree_what!$G:$G,0)-1,MATCH(ref_services!$C38,ref_tree_what!$2:$2,0)-1)="x",TRUE,""),"")</f>
        <v/>
      </c>
      <c r="F38" s="1" t="s">
        <v>193</v>
      </c>
      <c r="G38" s="2">
        <v>7</v>
      </c>
      <c r="H38" s="2">
        <v>10</v>
      </c>
      <c r="I38" s="41">
        <f ca="1">IFERROR(AVERAGE('Call Notes'!$G:$G),0)</f>
        <v>1</v>
      </c>
      <c r="J38" s="2" t="b">
        <f t="shared" ca="1" si="1"/>
        <v>1</v>
      </c>
      <c r="K38" s="2">
        <v>7</v>
      </c>
      <c r="L38" s="2">
        <v>10</v>
      </c>
      <c r="M38" s="41">
        <f ca="1">IFERROR(AVERAGE('Call Notes'!$H:$H),0)</f>
        <v>1</v>
      </c>
      <c r="N38" s="2" t="b">
        <f t="shared" ca="1" si="2"/>
        <v>1</v>
      </c>
      <c r="O38" s="2">
        <v>7</v>
      </c>
      <c r="P38" s="2">
        <v>10</v>
      </c>
      <c r="Q38" s="41">
        <f ca="1">IFERROR(AVERAGE('Call Notes'!$I:$I),0)</f>
        <v>2</v>
      </c>
      <c r="R38" s="2" t="b">
        <f t="shared" ca="1" si="3"/>
        <v>1</v>
      </c>
      <c r="S38" s="2">
        <f ca="1">COUNTIFS($R$3:$R38,TRUE,$N$3:$N38,TRUE,$J$3:$J38,TRUE,$D$3:$D38,TRUE,$E$3:$E38,TRUE)</f>
        <v>2</v>
      </c>
    </row>
    <row r="39" spans="1:19" x14ac:dyDescent="0.25">
      <c r="A39" s="2" t="str">
        <f t="shared" si="0"/>
        <v>S37</v>
      </c>
      <c r="D39" s="2" t="str">
        <f ca="1">IFERROR(IF(OFFSET(ref_tree_who!$A$1,MATCH(TRUE, ref_tree_who!$G:$G,0)-1,MATCH(ref_services!$B39,ref_tree_who!$2:$2,0)-1)="x",TRUE,""),"")</f>
        <v/>
      </c>
      <c r="E39" s="2" t="str">
        <f ca="1">IFERROR(IF(OFFSET(ref_tree_what!$A$1,MATCH(TRUE, ref_tree_what!$G:$G,0)-1,MATCH(ref_services!$C39,ref_tree_what!$2:$2,0)-1)="x",TRUE,""),"")</f>
        <v/>
      </c>
      <c r="F39" s="1" t="s">
        <v>194</v>
      </c>
      <c r="I39" s="41">
        <f ca="1">IFERROR(AVERAGE('Call Notes'!$G:$G),0)</f>
        <v>1</v>
      </c>
      <c r="J39" s="2" t="str">
        <f t="shared" ca="1" si="1"/>
        <v/>
      </c>
      <c r="M39" s="41">
        <f ca="1">IFERROR(AVERAGE('Call Notes'!$H:$H),0)</f>
        <v>1</v>
      </c>
      <c r="N39" s="2" t="str">
        <f t="shared" ca="1" si="2"/>
        <v/>
      </c>
      <c r="Q39" s="41">
        <f ca="1">IFERROR(AVERAGE('Call Notes'!$I:$I),0)</f>
        <v>2</v>
      </c>
      <c r="R39" s="2" t="str">
        <f t="shared" ca="1" si="3"/>
        <v/>
      </c>
      <c r="S39" s="2">
        <f ca="1">COUNTIFS($R$3:$R39,TRUE,$N$3:$N39,TRUE,$J$3:$J39,TRUE,$D$3:$D39,TRUE,$E$3:$E39,TRUE)</f>
        <v>2</v>
      </c>
    </row>
    <row r="40" spans="1:19" x14ac:dyDescent="0.25">
      <c r="A40" s="2" t="str">
        <f t="shared" si="0"/>
        <v>S38</v>
      </c>
      <c r="D40" s="2" t="str">
        <f ca="1">IFERROR(IF(OFFSET(ref_tree_who!$A$1,MATCH(TRUE, ref_tree_who!$G:$G,0)-1,MATCH(ref_services!$B40,ref_tree_who!$2:$2,0)-1)="x",TRUE,""),"")</f>
        <v/>
      </c>
      <c r="E40" s="2" t="str">
        <f ca="1">IFERROR(IF(OFFSET(ref_tree_what!$A$1,MATCH(TRUE, ref_tree_what!$G:$G,0)-1,MATCH(ref_services!$C40,ref_tree_what!$2:$2,0)-1)="x",TRUE,""),"")</f>
        <v/>
      </c>
      <c r="F40" s="1" t="s">
        <v>195</v>
      </c>
      <c r="I40" s="41">
        <f ca="1">IFERROR(AVERAGE('Call Notes'!$G:$G),0)</f>
        <v>1</v>
      </c>
      <c r="J40" s="2" t="str">
        <f t="shared" ca="1" si="1"/>
        <v/>
      </c>
      <c r="M40" s="41">
        <f ca="1">IFERROR(AVERAGE('Call Notes'!$H:$H),0)</f>
        <v>1</v>
      </c>
      <c r="N40" s="2" t="str">
        <f t="shared" ca="1" si="2"/>
        <v/>
      </c>
      <c r="Q40" s="41">
        <f ca="1">IFERROR(AVERAGE('Call Notes'!$I:$I),0)</f>
        <v>2</v>
      </c>
      <c r="R40" s="2" t="str">
        <f t="shared" ca="1" si="3"/>
        <v/>
      </c>
      <c r="S40" s="2">
        <f ca="1">COUNTIFS($R$3:$R40,TRUE,$N$3:$N40,TRUE,$J$3:$J40,TRUE,$D$3:$D40,TRUE,$E$3:$E40,TRUE)</f>
        <v>2</v>
      </c>
    </row>
    <row r="41" spans="1:19" x14ac:dyDescent="0.25">
      <c r="A41" s="2" t="str">
        <f t="shared" si="0"/>
        <v>S39</v>
      </c>
      <c r="D41" s="2" t="str">
        <f ca="1">IFERROR(IF(OFFSET(ref_tree_who!$A$1,MATCH(TRUE, ref_tree_who!$G:$G,0)-1,MATCH(ref_services!$B41,ref_tree_who!$2:$2,0)-1)="x",TRUE,""),"")</f>
        <v/>
      </c>
      <c r="E41" s="2" t="str">
        <f ca="1">IFERROR(IF(OFFSET(ref_tree_what!$A$1,MATCH(TRUE, ref_tree_what!$G:$G,0)-1,MATCH(ref_services!$C41,ref_tree_what!$2:$2,0)-1)="x",TRUE,""),"")</f>
        <v/>
      </c>
      <c r="F41" s="1" t="s">
        <v>196</v>
      </c>
      <c r="G41" s="2">
        <v>5</v>
      </c>
      <c r="H41" s="2">
        <v>7</v>
      </c>
      <c r="I41" s="41">
        <f ca="1">IFERROR(AVERAGE('Call Notes'!$G:$G),0)</f>
        <v>1</v>
      </c>
      <c r="J41" s="2" t="b">
        <f t="shared" ca="1" si="1"/>
        <v>1</v>
      </c>
      <c r="K41" s="2">
        <v>5</v>
      </c>
      <c r="L41" s="2">
        <v>7</v>
      </c>
      <c r="M41" s="41">
        <f ca="1">IFERROR(AVERAGE('Call Notes'!$H:$H),0)</f>
        <v>1</v>
      </c>
      <c r="N41" s="2" t="b">
        <f t="shared" ca="1" si="2"/>
        <v>1</v>
      </c>
      <c r="O41" s="2">
        <v>5</v>
      </c>
      <c r="P41" s="2">
        <v>7</v>
      </c>
      <c r="Q41" s="41">
        <f ca="1">IFERROR(AVERAGE('Call Notes'!$I:$I),0)</f>
        <v>2</v>
      </c>
      <c r="R41" s="2" t="b">
        <f t="shared" ca="1" si="3"/>
        <v>1</v>
      </c>
      <c r="S41" s="2">
        <f ca="1">COUNTIFS($R$3:$R41,TRUE,$N$3:$N41,TRUE,$J$3:$J41,TRUE,$D$3:$D41,TRUE,$E$3:$E41,TRUE)</f>
        <v>2</v>
      </c>
    </row>
    <row r="42" spans="1:19" x14ac:dyDescent="0.25">
      <c r="A42" s="2" t="str">
        <f t="shared" si="0"/>
        <v>S40</v>
      </c>
      <c r="D42" s="2" t="str">
        <f ca="1">IFERROR(IF(OFFSET(ref_tree_who!$A$1,MATCH(TRUE, ref_tree_who!$G:$G,0)-1,MATCH(ref_services!$B42,ref_tree_who!$2:$2,0)-1)="x",TRUE,""),"")</f>
        <v/>
      </c>
      <c r="E42" s="2" t="str">
        <f ca="1">IFERROR(IF(OFFSET(ref_tree_what!$A$1,MATCH(TRUE, ref_tree_what!$G:$G,0)-1,MATCH(ref_services!$C42,ref_tree_what!$2:$2,0)-1)="x",TRUE,""),"")</f>
        <v/>
      </c>
      <c r="F42" s="1" t="s">
        <v>197</v>
      </c>
      <c r="I42" s="41">
        <f ca="1">IFERROR(AVERAGE('Call Notes'!$G:$G),0)</f>
        <v>1</v>
      </c>
      <c r="J42" s="2" t="str">
        <f t="shared" ca="1" si="1"/>
        <v/>
      </c>
      <c r="M42" s="41">
        <f ca="1">IFERROR(AVERAGE('Call Notes'!$H:$H),0)</f>
        <v>1</v>
      </c>
      <c r="N42" s="2" t="str">
        <f t="shared" ca="1" si="2"/>
        <v/>
      </c>
      <c r="Q42" s="41">
        <f ca="1">IFERROR(AVERAGE('Call Notes'!$I:$I),0)</f>
        <v>2</v>
      </c>
      <c r="R42" s="2" t="str">
        <f t="shared" ca="1" si="3"/>
        <v/>
      </c>
      <c r="S42" s="2">
        <f ca="1">COUNTIFS($R$3:$R42,TRUE,$N$3:$N42,TRUE,$J$3:$J42,TRUE,$D$3:$D42,TRUE,$E$3:$E42,TRUE)</f>
        <v>2</v>
      </c>
    </row>
    <row r="43" spans="1:19" x14ac:dyDescent="0.25">
      <c r="A43" s="2" t="str">
        <f t="shared" si="0"/>
        <v>S41</v>
      </c>
      <c r="D43" s="2" t="str">
        <f ca="1">IFERROR(IF(OFFSET(ref_tree_who!$A$1,MATCH(TRUE, ref_tree_who!$G:$G,0)-1,MATCH(ref_services!$B43,ref_tree_who!$2:$2,0)-1)="x",TRUE,""),"")</f>
        <v/>
      </c>
      <c r="E43" s="2" t="str">
        <f ca="1">IFERROR(IF(OFFSET(ref_tree_what!$A$1,MATCH(TRUE, ref_tree_what!$G:$G,0)-1,MATCH(ref_services!$C43,ref_tree_what!$2:$2,0)-1)="x",TRUE,""),"")</f>
        <v/>
      </c>
      <c r="F43" s="1" t="s">
        <v>198</v>
      </c>
      <c r="I43" s="41">
        <f ca="1">IFERROR(AVERAGE('Call Notes'!$G:$G),0)</f>
        <v>1</v>
      </c>
      <c r="J43" s="2" t="str">
        <f t="shared" ca="1" si="1"/>
        <v/>
      </c>
      <c r="M43" s="41">
        <f ca="1">IFERROR(AVERAGE('Call Notes'!$H:$H),0)</f>
        <v>1</v>
      </c>
      <c r="N43" s="2" t="str">
        <f t="shared" ca="1" si="2"/>
        <v/>
      </c>
      <c r="Q43" s="41">
        <f ca="1">IFERROR(AVERAGE('Call Notes'!$I:$I),0)</f>
        <v>2</v>
      </c>
      <c r="R43" s="2" t="str">
        <f t="shared" ca="1" si="3"/>
        <v/>
      </c>
      <c r="S43" s="2">
        <f ca="1">COUNTIFS($R$3:$R43,TRUE,$N$3:$N43,TRUE,$J$3:$J43,TRUE,$D$3:$D43,TRUE,$E$3:$E43,TRUE)</f>
        <v>2</v>
      </c>
    </row>
    <row r="44" spans="1:19" x14ac:dyDescent="0.25">
      <c r="A44" s="2" t="str">
        <f t="shared" si="0"/>
        <v>S42</v>
      </c>
      <c r="D44" s="2" t="str">
        <f ca="1">IFERROR(IF(OFFSET(ref_tree_who!$A$1,MATCH(TRUE, ref_tree_who!$G:$G,0)-1,MATCH(ref_services!$B44,ref_tree_who!$2:$2,0)-1)="x",TRUE,""),"")</f>
        <v/>
      </c>
      <c r="E44" s="2" t="str">
        <f ca="1">IFERROR(IF(OFFSET(ref_tree_what!$A$1,MATCH(TRUE, ref_tree_what!$G:$G,0)-1,MATCH(ref_services!$C44,ref_tree_what!$2:$2,0)-1)="x",TRUE,""),"")</f>
        <v/>
      </c>
      <c r="F44" s="1" t="s">
        <v>199</v>
      </c>
      <c r="G44" s="2">
        <v>2</v>
      </c>
      <c r="H44" s="2">
        <v>5</v>
      </c>
      <c r="I44" s="41">
        <f ca="1">IFERROR(AVERAGE('Call Notes'!$G:$G),0)</f>
        <v>1</v>
      </c>
      <c r="J44" s="2" t="b">
        <f t="shared" ca="1" si="1"/>
        <v>1</v>
      </c>
      <c r="K44" s="2">
        <v>2</v>
      </c>
      <c r="L44" s="2">
        <v>5</v>
      </c>
      <c r="M44" s="41">
        <f ca="1">IFERROR(AVERAGE('Call Notes'!$H:$H),0)</f>
        <v>1</v>
      </c>
      <c r="N44" s="2" t="b">
        <f t="shared" ca="1" si="2"/>
        <v>1</v>
      </c>
      <c r="O44" s="2">
        <v>2</v>
      </c>
      <c r="P44" s="2">
        <v>5</v>
      </c>
      <c r="Q44" s="41">
        <f ca="1">IFERROR(AVERAGE('Call Notes'!$I:$I),0)</f>
        <v>2</v>
      </c>
      <c r="R44" s="2" t="b">
        <f t="shared" ca="1" si="3"/>
        <v>1</v>
      </c>
      <c r="S44" s="2">
        <f ca="1">COUNTIFS($R$3:$R44,TRUE,$N$3:$N44,TRUE,$J$3:$J44,TRUE,$D$3:$D44,TRUE,$E$3:$E44,TRUE)</f>
        <v>2</v>
      </c>
    </row>
    <row r="45" spans="1:19" x14ac:dyDescent="0.25">
      <c r="A45" s="2" t="str">
        <f t="shared" si="0"/>
        <v>S43</v>
      </c>
      <c r="D45" s="2" t="str">
        <f ca="1">IFERROR(IF(OFFSET(ref_tree_who!$A$1,MATCH(TRUE, ref_tree_who!$G:$G,0)-1,MATCH(ref_services!$B45,ref_tree_who!$2:$2,0)-1)="x",TRUE,""),"")</f>
        <v/>
      </c>
      <c r="E45" s="2" t="str">
        <f ca="1">IFERROR(IF(OFFSET(ref_tree_what!$A$1,MATCH(TRUE, ref_tree_what!$G:$G,0)-1,MATCH(ref_services!$C45,ref_tree_what!$2:$2,0)-1)="x",TRUE,""),"")</f>
        <v/>
      </c>
      <c r="F45" s="1" t="s">
        <v>200</v>
      </c>
      <c r="G45" s="2">
        <v>2</v>
      </c>
      <c r="H45" s="2">
        <v>5</v>
      </c>
      <c r="I45" s="41">
        <f ca="1">IFERROR(AVERAGE('Call Notes'!$G:$G),0)</f>
        <v>1</v>
      </c>
      <c r="J45" s="2" t="b">
        <f t="shared" ca="1" si="1"/>
        <v>1</v>
      </c>
      <c r="K45" s="2">
        <v>2</v>
      </c>
      <c r="L45" s="2">
        <v>5</v>
      </c>
      <c r="M45" s="41">
        <f ca="1">IFERROR(AVERAGE('Call Notes'!$H:$H),0)</f>
        <v>1</v>
      </c>
      <c r="N45" s="2" t="b">
        <f t="shared" ca="1" si="2"/>
        <v>1</v>
      </c>
      <c r="O45" s="2">
        <v>2</v>
      </c>
      <c r="P45" s="2">
        <v>5</v>
      </c>
      <c r="Q45" s="41">
        <f ca="1">IFERROR(AVERAGE('Call Notes'!$I:$I),0)</f>
        <v>2</v>
      </c>
      <c r="R45" s="2" t="b">
        <f t="shared" ca="1" si="3"/>
        <v>1</v>
      </c>
      <c r="S45" s="2">
        <f ca="1">COUNTIFS($R$3:$R45,TRUE,$N$3:$N45,TRUE,$J$3:$J45,TRUE,$D$3:$D45,TRUE,$E$3:$E45,TRUE)</f>
        <v>2</v>
      </c>
    </row>
    <row r="46" spans="1:19" x14ac:dyDescent="0.25">
      <c r="A46" s="2" t="str">
        <f t="shared" si="0"/>
        <v>S44</v>
      </c>
      <c r="D46" s="2" t="str">
        <f ca="1">IFERROR(IF(OFFSET(ref_tree_who!$A$1,MATCH(TRUE, ref_tree_who!$G:$G,0)-1,MATCH(ref_services!$B46,ref_tree_who!$2:$2,0)-1)="x",TRUE,""),"")</f>
        <v/>
      </c>
      <c r="E46" s="2" t="str">
        <f ca="1">IFERROR(IF(OFFSET(ref_tree_what!$A$1,MATCH(TRUE, ref_tree_what!$G:$G,0)-1,MATCH(ref_services!$C46,ref_tree_what!$2:$2,0)-1)="x",TRUE,""),"")</f>
        <v/>
      </c>
      <c r="F46" s="1" t="s">
        <v>201</v>
      </c>
      <c r="G46" s="2">
        <v>2</v>
      </c>
      <c r="H46" s="2">
        <v>5</v>
      </c>
      <c r="I46" s="41">
        <f ca="1">IFERROR(AVERAGE('Call Notes'!$G:$G),0)</f>
        <v>1</v>
      </c>
      <c r="J46" s="2" t="b">
        <f t="shared" ca="1" si="1"/>
        <v>1</v>
      </c>
      <c r="K46" s="2">
        <v>2</v>
      </c>
      <c r="L46" s="2">
        <v>5</v>
      </c>
      <c r="M46" s="41">
        <f ca="1">IFERROR(AVERAGE('Call Notes'!$H:$H),0)</f>
        <v>1</v>
      </c>
      <c r="N46" s="2" t="b">
        <f t="shared" ca="1" si="2"/>
        <v>1</v>
      </c>
      <c r="O46" s="2">
        <v>2</v>
      </c>
      <c r="P46" s="2">
        <v>5</v>
      </c>
      <c r="Q46" s="41">
        <f ca="1">IFERROR(AVERAGE('Call Notes'!$I:$I),0)</f>
        <v>2</v>
      </c>
      <c r="R46" s="2" t="b">
        <f t="shared" ca="1" si="3"/>
        <v>1</v>
      </c>
      <c r="S46" s="2">
        <f ca="1">COUNTIFS($R$3:$R46,TRUE,$N$3:$N46,TRUE,$J$3:$J46,TRUE,$D$3:$D46,TRUE,$E$3:$E46,TRUE)</f>
        <v>2</v>
      </c>
    </row>
    <row r="47" spans="1:19" x14ac:dyDescent="0.25">
      <c r="A47" s="2" t="str">
        <f t="shared" si="0"/>
        <v>S45</v>
      </c>
      <c r="D47" s="2" t="str">
        <f ca="1">IFERROR(IF(OFFSET(ref_tree_who!$A$1,MATCH(TRUE, ref_tree_who!$G:$G,0)-1,MATCH(ref_services!$B47,ref_tree_who!$2:$2,0)-1)="x",TRUE,""),"")</f>
        <v/>
      </c>
      <c r="E47" s="2" t="str">
        <f ca="1">IFERROR(IF(OFFSET(ref_tree_what!$A$1,MATCH(TRUE, ref_tree_what!$G:$G,0)-1,MATCH(ref_services!$C47,ref_tree_what!$2:$2,0)-1)="x",TRUE,""),"")</f>
        <v/>
      </c>
      <c r="F47" s="1" t="s">
        <v>202</v>
      </c>
      <c r="G47" s="2">
        <v>2</v>
      </c>
      <c r="H47" s="2">
        <v>5</v>
      </c>
      <c r="I47" s="41">
        <f ca="1">IFERROR(AVERAGE('Call Notes'!$G:$G),0)</f>
        <v>1</v>
      </c>
      <c r="J47" s="2" t="b">
        <f t="shared" ca="1" si="1"/>
        <v>1</v>
      </c>
      <c r="K47" s="2">
        <v>2</v>
      </c>
      <c r="L47" s="2">
        <v>5</v>
      </c>
      <c r="M47" s="41">
        <f ca="1">IFERROR(AVERAGE('Call Notes'!$H:$H),0)</f>
        <v>1</v>
      </c>
      <c r="N47" s="2" t="b">
        <f t="shared" ca="1" si="2"/>
        <v>1</v>
      </c>
      <c r="O47" s="2">
        <v>2</v>
      </c>
      <c r="P47" s="2">
        <v>5</v>
      </c>
      <c r="Q47" s="41">
        <f ca="1">IFERROR(AVERAGE('Call Notes'!$I:$I),0)</f>
        <v>2</v>
      </c>
      <c r="R47" s="2" t="b">
        <f t="shared" ca="1" si="3"/>
        <v>1</v>
      </c>
      <c r="S47" s="2">
        <f ca="1">COUNTIFS($R$3:$R47,TRUE,$N$3:$N47,TRUE,$J$3:$J47,TRUE,$D$3:$D47,TRUE,$E$3:$E47,TRUE)</f>
        <v>2</v>
      </c>
    </row>
    <row r="48" spans="1:19" x14ac:dyDescent="0.25">
      <c r="A48" s="2" t="str">
        <f t="shared" si="0"/>
        <v>S46</v>
      </c>
      <c r="D48" s="2" t="str">
        <f ca="1">IFERROR(IF(OFFSET(ref_tree_who!$A$1,MATCH(TRUE, ref_tree_who!$G:$G,0)-1,MATCH(ref_services!$B48,ref_tree_who!$2:$2,0)-1)="x",TRUE,""),"")</f>
        <v/>
      </c>
      <c r="E48" s="2" t="str">
        <f ca="1">IFERROR(IF(OFFSET(ref_tree_what!$A$1,MATCH(TRUE, ref_tree_what!$G:$G,0)-1,MATCH(ref_services!$C48,ref_tree_what!$2:$2,0)-1)="x",TRUE,""),"")</f>
        <v/>
      </c>
      <c r="F48" s="1" t="s">
        <v>203</v>
      </c>
      <c r="G48" s="2">
        <v>2</v>
      </c>
      <c r="H48" s="2">
        <v>5</v>
      </c>
      <c r="I48" s="41">
        <f ca="1">IFERROR(AVERAGE('Call Notes'!$G:$G),0)</f>
        <v>1</v>
      </c>
      <c r="J48" s="2" t="b">
        <f t="shared" ca="1" si="1"/>
        <v>1</v>
      </c>
      <c r="K48" s="2">
        <v>2</v>
      </c>
      <c r="L48" s="2">
        <v>5</v>
      </c>
      <c r="M48" s="41">
        <f ca="1">IFERROR(AVERAGE('Call Notes'!$H:$H),0)</f>
        <v>1</v>
      </c>
      <c r="N48" s="2" t="b">
        <f t="shared" ca="1" si="2"/>
        <v>1</v>
      </c>
      <c r="O48" s="2">
        <v>2</v>
      </c>
      <c r="P48" s="2">
        <v>5</v>
      </c>
      <c r="Q48" s="41">
        <f ca="1">IFERROR(AVERAGE('Call Notes'!$I:$I),0)</f>
        <v>2</v>
      </c>
      <c r="R48" s="2" t="b">
        <f t="shared" ca="1" si="3"/>
        <v>1</v>
      </c>
      <c r="S48" s="2">
        <f ca="1">COUNTIFS($R$3:$R48,TRUE,$N$3:$N48,TRUE,$J$3:$J48,TRUE,$D$3:$D48,TRUE,$E$3:$E48,TRUE)</f>
        <v>2</v>
      </c>
    </row>
    <row r="49" spans="1:19" x14ac:dyDescent="0.25">
      <c r="A49" s="2" t="str">
        <f t="shared" si="0"/>
        <v>S47</v>
      </c>
      <c r="D49" s="2" t="str">
        <f ca="1">IFERROR(IF(OFFSET(ref_tree_who!$A$1,MATCH(TRUE, ref_tree_who!$G:$G,0)-1,MATCH(ref_services!$B49,ref_tree_who!$2:$2,0)-1)="x",TRUE,""),"")</f>
        <v/>
      </c>
      <c r="E49" s="2" t="str">
        <f ca="1">IFERROR(IF(OFFSET(ref_tree_what!$A$1,MATCH(TRUE, ref_tree_what!$G:$G,0)-1,MATCH(ref_services!$C49,ref_tree_what!$2:$2,0)-1)="x",TRUE,""),"")</f>
        <v/>
      </c>
      <c r="F49" s="1" t="s">
        <v>204</v>
      </c>
      <c r="G49" s="2">
        <v>2</v>
      </c>
      <c r="H49" s="2">
        <v>5</v>
      </c>
      <c r="I49" s="41">
        <f ca="1">IFERROR(AVERAGE('Call Notes'!$G:$G),0)</f>
        <v>1</v>
      </c>
      <c r="J49" s="2" t="b">
        <f t="shared" ca="1" si="1"/>
        <v>1</v>
      </c>
      <c r="K49" s="2">
        <v>2</v>
      </c>
      <c r="L49" s="2">
        <v>5</v>
      </c>
      <c r="M49" s="41">
        <f ca="1">IFERROR(AVERAGE('Call Notes'!$H:$H),0)</f>
        <v>1</v>
      </c>
      <c r="N49" s="2" t="b">
        <f t="shared" ca="1" si="2"/>
        <v>1</v>
      </c>
      <c r="O49" s="2">
        <v>2</v>
      </c>
      <c r="P49" s="2">
        <v>5</v>
      </c>
      <c r="Q49" s="41">
        <f ca="1">IFERROR(AVERAGE('Call Notes'!$I:$I),0)</f>
        <v>2</v>
      </c>
      <c r="R49" s="2" t="b">
        <f t="shared" ca="1" si="3"/>
        <v>1</v>
      </c>
      <c r="S49" s="2">
        <f ca="1">COUNTIFS($R$3:$R49,TRUE,$N$3:$N49,TRUE,$J$3:$J49,TRUE,$D$3:$D49,TRUE,$E$3:$E49,TRUE)</f>
        <v>2</v>
      </c>
    </row>
    <row r="50" spans="1:19" x14ac:dyDescent="0.25">
      <c r="A50" s="2" t="str">
        <f t="shared" si="0"/>
        <v>S48</v>
      </c>
      <c r="D50" s="2" t="str">
        <f ca="1">IFERROR(IF(OFFSET(ref_tree_who!$A$1,MATCH(TRUE, ref_tree_who!$G:$G,0)-1,MATCH(ref_services!$B50,ref_tree_who!$2:$2,0)-1)="x",TRUE,""),"")</f>
        <v/>
      </c>
      <c r="E50" s="2" t="str">
        <f ca="1">IFERROR(IF(OFFSET(ref_tree_what!$A$1,MATCH(TRUE, ref_tree_what!$G:$G,0)-1,MATCH(ref_services!$C50,ref_tree_what!$2:$2,0)-1)="x",TRUE,""),"")</f>
        <v/>
      </c>
      <c r="F50" s="1" t="s">
        <v>205</v>
      </c>
      <c r="G50" s="2">
        <v>2</v>
      </c>
      <c r="H50" s="2">
        <v>5</v>
      </c>
      <c r="I50" s="41">
        <f ca="1">IFERROR(AVERAGE('Call Notes'!$G:$G),0)</f>
        <v>1</v>
      </c>
      <c r="J50" s="2" t="b">
        <f t="shared" ca="1" si="1"/>
        <v>1</v>
      </c>
      <c r="K50" s="2">
        <v>2</v>
      </c>
      <c r="L50" s="2">
        <v>5</v>
      </c>
      <c r="M50" s="41">
        <f ca="1">IFERROR(AVERAGE('Call Notes'!$H:$H),0)</f>
        <v>1</v>
      </c>
      <c r="N50" s="2" t="b">
        <f t="shared" ca="1" si="2"/>
        <v>1</v>
      </c>
      <c r="O50" s="2">
        <v>2</v>
      </c>
      <c r="P50" s="2">
        <v>5</v>
      </c>
      <c r="Q50" s="41">
        <f ca="1">IFERROR(AVERAGE('Call Notes'!$I:$I),0)</f>
        <v>2</v>
      </c>
      <c r="R50" s="2" t="b">
        <f t="shared" ca="1" si="3"/>
        <v>1</v>
      </c>
      <c r="S50" s="2">
        <f ca="1">COUNTIFS($R$3:$R50,TRUE,$N$3:$N50,TRUE,$J$3:$J50,TRUE,$D$3:$D50,TRUE,$E$3:$E50,TRUE)</f>
        <v>2</v>
      </c>
    </row>
    <row r="51" spans="1:19" x14ac:dyDescent="0.25">
      <c r="A51" s="2" t="str">
        <f t="shared" si="0"/>
        <v>S49</v>
      </c>
      <c r="D51" s="2" t="str">
        <f ca="1">IFERROR(IF(OFFSET(ref_tree_who!$A$1,MATCH(TRUE, ref_tree_who!$G:$G,0)-1,MATCH(ref_services!$B51,ref_tree_who!$2:$2,0)-1)="x",TRUE,""),"")</f>
        <v/>
      </c>
      <c r="E51" s="2" t="str">
        <f ca="1">IFERROR(IF(OFFSET(ref_tree_what!$A$1,MATCH(TRUE, ref_tree_what!$G:$G,0)-1,MATCH(ref_services!$C51,ref_tree_what!$2:$2,0)-1)="x",TRUE,""),"")</f>
        <v/>
      </c>
      <c r="F51" s="1" t="s">
        <v>206</v>
      </c>
      <c r="G51" s="2">
        <v>2</v>
      </c>
      <c r="H51" s="2">
        <v>5</v>
      </c>
      <c r="I51" s="41">
        <f ca="1">IFERROR(AVERAGE('Call Notes'!$G:$G),0)</f>
        <v>1</v>
      </c>
      <c r="J51" s="2" t="b">
        <f t="shared" ca="1" si="1"/>
        <v>1</v>
      </c>
      <c r="K51" s="2">
        <v>2</v>
      </c>
      <c r="L51" s="2">
        <v>5</v>
      </c>
      <c r="M51" s="41">
        <f ca="1">IFERROR(AVERAGE('Call Notes'!$H:$H),0)</f>
        <v>1</v>
      </c>
      <c r="N51" s="2" t="b">
        <f t="shared" ca="1" si="2"/>
        <v>1</v>
      </c>
      <c r="O51" s="2">
        <v>2</v>
      </c>
      <c r="P51" s="2">
        <v>5</v>
      </c>
      <c r="Q51" s="41">
        <f ca="1">IFERROR(AVERAGE('Call Notes'!$I:$I),0)</f>
        <v>2</v>
      </c>
      <c r="R51" s="2" t="b">
        <f t="shared" ca="1" si="3"/>
        <v>1</v>
      </c>
      <c r="S51" s="2">
        <f ca="1">COUNTIFS($R$3:$R51,TRUE,$N$3:$N51,TRUE,$J$3:$J51,TRUE,$D$3:$D51,TRUE,$E$3:$E51,TRUE)</f>
        <v>2</v>
      </c>
    </row>
    <row r="52" spans="1:19" x14ac:dyDescent="0.25">
      <c r="A52" s="2" t="str">
        <f t="shared" si="0"/>
        <v>S50</v>
      </c>
      <c r="D52" s="2" t="str">
        <f ca="1">IFERROR(IF(OFFSET(ref_tree_who!$A$1,MATCH(TRUE, ref_tree_who!$G:$G,0)-1,MATCH(ref_services!$B52,ref_tree_who!$2:$2,0)-1)="x",TRUE,""),"")</f>
        <v/>
      </c>
      <c r="E52" s="2" t="str">
        <f ca="1">IFERROR(IF(OFFSET(ref_tree_what!$A$1,MATCH(TRUE, ref_tree_what!$G:$G,0)-1,MATCH(ref_services!$C52,ref_tree_what!$2:$2,0)-1)="x",TRUE,""),"")</f>
        <v/>
      </c>
      <c r="F52" s="1" t="s">
        <v>207</v>
      </c>
      <c r="G52" s="2">
        <v>2</v>
      </c>
      <c r="H52" s="2">
        <v>5</v>
      </c>
      <c r="I52" s="41">
        <f ca="1">IFERROR(AVERAGE('Call Notes'!$G:$G),0)</f>
        <v>1</v>
      </c>
      <c r="J52" s="2" t="b">
        <f t="shared" ca="1" si="1"/>
        <v>1</v>
      </c>
      <c r="K52" s="2">
        <v>2</v>
      </c>
      <c r="L52" s="2">
        <v>5</v>
      </c>
      <c r="M52" s="41">
        <f ca="1">IFERROR(AVERAGE('Call Notes'!$H:$H),0)</f>
        <v>1</v>
      </c>
      <c r="N52" s="2" t="b">
        <f t="shared" ca="1" si="2"/>
        <v>1</v>
      </c>
      <c r="O52" s="2">
        <v>2</v>
      </c>
      <c r="P52" s="2">
        <v>5</v>
      </c>
      <c r="Q52" s="41">
        <f ca="1">IFERROR(AVERAGE('Call Notes'!$I:$I),0)</f>
        <v>2</v>
      </c>
      <c r="R52" s="2" t="b">
        <f t="shared" ca="1" si="3"/>
        <v>1</v>
      </c>
      <c r="S52" s="2">
        <f ca="1">COUNTIFS($R$3:$R52,TRUE,$N$3:$N52,TRUE,$J$3:$J52,TRUE,$D$3:$D52,TRUE,$E$3:$E52,TRUE)</f>
        <v>2</v>
      </c>
    </row>
    <row r="53" spans="1:19" x14ac:dyDescent="0.25">
      <c r="A53" s="2" t="str">
        <f t="shared" si="0"/>
        <v>S51</v>
      </c>
      <c r="D53" s="2" t="str">
        <f ca="1">IFERROR(IF(OFFSET(ref_tree_who!$A$1,MATCH(TRUE, ref_tree_who!$G:$G,0)-1,MATCH(ref_services!$B53,ref_tree_who!$2:$2,0)-1)="x",TRUE,""),"")</f>
        <v/>
      </c>
      <c r="E53" s="2" t="str">
        <f ca="1">IFERROR(IF(OFFSET(ref_tree_what!$A$1,MATCH(TRUE, ref_tree_what!$G:$G,0)-1,MATCH(ref_services!$C53,ref_tree_what!$2:$2,0)-1)="x",TRUE,""),"")</f>
        <v/>
      </c>
      <c r="F53" s="1" t="s">
        <v>208</v>
      </c>
      <c r="G53" s="2">
        <v>2</v>
      </c>
      <c r="H53" s="2">
        <v>5</v>
      </c>
      <c r="I53" s="41">
        <f ca="1">IFERROR(AVERAGE('Call Notes'!$G:$G),0)</f>
        <v>1</v>
      </c>
      <c r="J53" s="2" t="b">
        <f t="shared" ca="1" si="1"/>
        <v>1</v>
      </c>
      <c r="K53" s="2">
        <v>2</v>
      </c>
      <c r="L53" s="2">
        <v>5</v>
      </c>
      <c r="M53" s="41">
        <f ca="1">IFERROR(AVERAGE('Call Notes'!$H:$H),0)</f>
        <v>1</v>
      </c>
      <c r="N53" s="2" t="b">
        <f t="shared" ca="1" si="2"/>
        <v>1</v>
      </c>
      <c r="O53" s="2">
        <v>2</v>
      </c>
      <c r="P53" s="2">
        <v>5</v>
      </c>
      <c r="Q53" s="41">
        <f ca="1">IFERROR(AVERAGE('Call Notes'!$I:$I),0)</f>
        <v>2</v>
      </c>
      <c r="R53" s="2" t="b">
        <f t="shared" ca="1" si="3"/>
        <v>1</v>
      </c>
      <c r="S53" s="2">
        <f ca="1">COUNTIFS($R$3:$R53,TRUE,$N$3:$N53,TRUE,$J$3:$J53,TRUE,$D$3:$D53,TRUE,$E$3:$E53,TRUE)</f>
        <v>2</v>
      </c>
    </row>
    <row r="54" spans="1:19" x14ac:dyDescent="0.25">
      <c r="A54" s="2" t="str">
        <f t="shared" si="0"/>
        <v>S52</v>
      </c>
      <c r="D54" s="2" t="str">
        <f ca="1">IFERROR(IF(OFFSET(ref_tree_who!$A$1,MATCH(TRUE, ref_tree_who!$G:$G,0)-1,MATCH(ref_services!$B54,ref_tree_who!$2:$2,0)-1)="x",TRUE,""),"")</f>
        <v/>
      </c>
      <c r="E54" s="2" t="str">
        <f ca="1">IFERROR(IF(OFFSET(ref_tree_what!$A$1,MATCH(TRUE, ref_tree_what!$G:$G,0)-1,MATCH(ref_services!$C54,ref_tree_what!$2:$2,0)-1)="x",TRUE,""),"")</f>
        <v/>
      </c>
      <c r="F54" s="1" t="s">
        <v>209</v>
      </c>
      <c r="G54" s="2">
        <v>2</v>
      </c>
      <c r="H54" s="2">
        <v>5</v>
      </c>
      <c r="I54" s="41">
        <f ca="1">IFERROR(AVERAGE('Call Notes'!$G:$G),0)</f>
        <v>1</v>
      </c>
      <c r="J54" s="2" t="b">
        <f t="shared" ca="1" si="1"/>
        <v>1</v>
      </c>
      <c r="K54" s="2">
        <v>2</v>
      </c>
      <c r="L54" s="2">
        <v>5</v>
      </c>
      <c r="M54" s="41">
        <f ca="1">IFERROR(AVERAGE('Call Notes'!$H:$H),0)</f>
        <v>1</v>
      </c>
      <c r="N54" s="2" t="b">
        <f t="shared" ca="1" si="2"/>
        <v>1</v>
      </c>
      <c r="O54" s="2">
        <v>2</v>
      </c>
      <c r="P54" s="2">
        <v>5</v>
      </c>
      <c r="Q54" s="41">
        <f ca="1">IFERROR(AVERAGE('Call Notes'!$I:$I),0)</f>
        <v>2</v>
      </c>
      <c r="R54" s="2" t="b">
        <f t="shared" ca="1" si="3"/>
        <v>1</v>
      </c>
      <c r="S54" s="2">
        <f ca="1">COUNTIFS($R$3:$R54,TRUE,$N$3:$N54,TRUE,$J$3:$J54,TRUE,$D$3:$D54,TRUE,$E$3:$E54,TRUE)</f>
        <v>2</v>
      </c>
    </row>
    <row r="55" spans="1:19" x14ac:dyDescent="0.25">
      <c r="A55" s="2" t="str">
        <f t="shared" si="0"/>
        <v>S53</v>
      </c>
      <c r="D55" s="2" t="str">
        <f ca="1">IFERROR(IF(OFFSET(ref_tree_who!$A$1,MATCH(TRUE, ref_tree_who!$G:$G,0)-1,MATCH(ref_services!$B55,ref_tree_who!$2:$2,0)-1)="x",TRUE,""),"")</f>
        <v/>
      </c>
      <c r="E55" s="2" t="str">
        <f ca="1">IFERROR(IF(OFFSET(ref_tree_what!$A$1,MATCH(TRUE, ref_tree_what!$G:$G,0)-1,MATCH(ref_services!$C55,ref_tree_what!$2:$2,0)-1)="x",TRUE,""),"")</f>
        <v/>
      </c>
      <c r="F55" s="1" t="s">
        <v>210</v>
      </c>
      <c r="G55" s="2">
        <v>2</v>
      </c>
      <c r="H55" s="2">
        <v>5</v>
      </c>
      <c r="I55" s="41">
        <f ca="1">IFERROR(AVERAGE('Call Notes'!$G:$G),0)</f>
        <v>1</v>
      </c>
      <c r="J55" s="2" t="b">
        <f t="shared" ca="1" si="1"/>
        <v>1</v>
      </c>
      <c r="K55" s="2">
        <v>2</v>
      </c>
      <c r="L55" s="2">
        <v>5</v>
      </c>
      <c r="M55" s="41">
        <f ca="1">IFERROR(AVERAGE('Call Notes'!$H:$H),0)</f>
        <v>1</v>
      </c>
      <c r="N55" s="2" t="b">
        <f t="shared" ca="1" si="2"/>
        <v>1</v>
      </c>
      <c r="O55" s="2">
        <v>2</v>
      </c>
      <c r="P55" s="2">
        <v>5</v>
      </c>
      <c r="Q55" s="41">
        <f ca="1">IFERROR(AVERAGE('Call Notes'!$I:$I),0)</f>
        <v>2</v>
      </c>
      <c r="R55" s="2" t="b">
        <f t="shared" ca="1" si="3"/>
        <v>1</v>
      </c>
      <c r="S55" s="2">
        <f ca="1">COUNTIFS($R$3:$R55,TRUE,$N$3:$N55,TRUE,$J$3:$J55,TRUE,$D$3:$D55,TRUE,$E$3:$E55,TRUE)</f>
        <v>2</v>
      </c>
    </row>
    <row r="56" spans="1:19" x14ac:dyDescent="0.25">
      <c r="A56" s="2" t="str">
        <f t="shared" si="0"/>
        <v>S54</v>
      </c>
      <c r="D56" s="2" t="str">
        <f ca="1">IFERROR(IF(OFFSET(ref_tree_who!$A$1,MATCH(TRUE, ref_tree_who!$G:$G,0)-1,MATCH(ref_services!$B56,ref_tree_who!$2:$2,0)-1)="x",TRUE,""),"")</f>
        <v/>
      </c>
      <c r="E56" s="2" t="str">
        <f ca="1">IFERROR(IF(OFFSET(ref_tree_what!$A$1,MATCH(TRUE, ref_tree_what!$G:$G,0)-1,MATCH(ref_services!$C56,ref_tree_what!$2:$2,0)-1)="x",TRUE,""),"")</f>
        <v/>
      </c>
      <c r="F56" s="1" t="s">
        <v>211</v>
      </c>
      <c r="G56" s="2">
        <v>2</v>
      </c>
      <c r="H56" s="2">
        <v>5</v>
      </c>
      <c r="I56" s="41">
        <f ca="1">IFERROR(AVERAGE('Call Notes'!$G:$G),0)</f>
        <v>1</v>
      </c>
      <c r="J56" s="2" t="b">
        <f t="shared" ca="1" si="1"/>
        <v>1</v>
      </c>
      <c r="K56" s="2">
        <v>2</v>
      </c>
      <c r="L56" s="2">
        <v>5</v>
      </c>
      <c r="M56" s="41">
        <f ca="1">IFERROR(AVERAGE('Call Notes'!$H:$H),0)</f>
        <v>1</v>
      </c>
      <c r="N56" s="2" t="b">
        <f t="shared" ca="1" si="2"/>
        <v>1</v>
      </c>
      <c r="O56" s="2">
        <v>2</v>
      </c>
      <c r="P56" s="2">
        <v>5</v>
      </c>
      <c r="Q56" s="41">
        <f ca="1">IFERROR(AVERAGE('Call Notes'!$I:$I),0)</f>
        <v>2</v>
      </c>
      <c r="R56" s="2" t="b">
        <f t="shared" ca="1" si="3"/>
        <v>1</v>
      </c>
      <c r="S56" s="2">
        <f ca="1">COUNTIFS($R$3:$R56,TRUE,$N$3:$N56,TRUE,$J$3:$J56,TRUE,$D$3:$D56,TRUE,$E$3:$E56,TRUE)</f>
        <v>2</v>
      </c>
    </row>
    <row r="57" spans="1:19" x14ac:dyDescent="0.25">
      <c r="A57" s="2" t="str">
        <f t="shared" si="0"/>
        <v>S55</v>
      </c>
      <c r="D57" s="2" t="str">
        <f ca="1">IFERROR(IF(OFFSET(ref_tree_who!$A$1,MATCH(TRUE, ref_tree_who!$G:$G,0)-1,MATCH(ref_services!$B57,ref_tree_who!$2:$2,0)-1)="x",TRUE,""),"")</f>
        <v/>
      </c>
      <c r="E57" s="2" t="str">
        <f ca="1">IFERROR(IF(OFFSET(ref_tree_what!$A$1,MATCH(TRUE, ref_tree_what!$G:$G,0)-1,MATCH(ref_services!$C57,ref_tree_what!$2:$2,0)-1)="x",TRUE,""),"")</f>
        <v/>
      </c>
      <c r="F57" s="1" t="s">
        <v>212</v>
      </c>
      <c r="G57" s="2">
        <v>2</v>
      </c>
      <c r="H57" s="2">
        <v>5</v>
      </c>
      <c r="I57" s="41">
        <f ca="1">IFERROR(AVERAGE('Call Notes'!$G:$G),0)</f>
        <v>1</v>
      </c>
      <c r="J57" s="2" t="b">
        <f t="shared" ca="1" si="1"/>
        <v>1</v>
      </c>
      <c r="K57" s="2">
        <v>2</v>
      </c>
      <c r="L57" s="2">
        <v>5</v>
      </c>
      <c r="M57" s="41">
        <f ca="1">IFERROR(AVERAGE('Call Notes'!$H:$H),0)</f>
        <v>1</v>
      </c>
      <c r="N57" s="2" t="b">
        <f t="shared" ca="1" si="2"/>
        <v>1</v>
      </c>
      <c r="O57" s="2">
        <v>2</v>
      </c>
      <c r="P57" s="2">
        <v>5</v>
      </c>
      <c r="Q57" s="41">
        <f ca="1">IFERROR(AVERAGE('Call Notes'!$I:$I),0)</f>
        <v>2</v>
      </c>
      <c r="R57" s="2" t="b">
        <f t="shared" ca="1" si="3"/>
        <v>1</v>
      </c>
      <c r="S57" s="2">
        <f ca="1">COUNTIFS($R$3:$R57,TRUE,$N$3:$N57,TRUE,$J$3:$J57,TRUE,$D$3:$D57,TRUE,$E$3:$E57,TRUE)</f>
        <v>2</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5" tint="0.39997558519241921"/>
  </sheetPr>
  <dimension ref="A1:AK20"/>
  <sheetViews>
    <sheetView workbookViewId="0">
      <selection activeCell="G3" sqref="G3"/>
    </sheetView>
  </sheetViews>
  <sheetFormatPr defaultRowHeight="15" x14ac:dyDescent="0.25"/>
  <cols>
    <col min="1" max="1" width="2.85546875" customWidth="1"/>
    <col min="2" max="2" width="29.42578125" customWidth="1"/>
    <col min="3" max="3" width="3.28515625" customWidth="1"/>
    <col min="4" max="4" width="29" customWidth="1"/>
    <col min="5" max="5" width="3.42578125" customWidth="1"/>
    <col min="6" max="6" width="25.42578125" customWidth="1"/>
    <col min="8" max="37" width="7.42578125" customWidth="1"/>
  </cols>
  <sheetData>
    <row r="1" spans="1:37" x14ac:dyDescent="0.25">
      <c r="A1" s="1" t="s">
        <v>0</v>
      </c>
      <c r="C1" s="2"/>
      <c r="E1" s="2"/>
      <c r="G1" s="3" t="s">
        <v>1</v>
      </c>
      <c r="H1" s="1" t="s">
        <v>2</v>
      </c>
      <c r="I1" s="2"/>
      <c r="J1" s="2"/>
      <c r="K1" s="2"/>
      <c r="L1" s="2"/>
      <c r="M1" s="2"/>
      <c r="N1" s="2"/>
      <c r="O1" s="2"/>
      <c r="P1" s="2"/>
      <c r="Q1" s="2"/>
      <c r="R1" s="2"/>
      <c r="S1" s="2"/>
      <c r="T1" s="2"/>
      <c r="U1" s="2"/>
      <c r="V1" s="2"/>
      <c r="W1" s="2"/>
      <c r="X1" s="2"/>
      <c r="Y1" s="2"/>
      <c r="Z1" s="2"/>
      <c r="AA1" s="2"/>
      <c r="AB1" s="2"/>
      <c r="AC1" s="2"/>
      <c r="AD1" s="2"/>
      <c r="AE1" s="2"/>
      <c r="AF1" s="2"/>
      <c r="AG1" s="2"/>
      <c r="AH1" s="2"/>
      <c r="AI1" s="2"/>
      <c r="AJ1" s="2"/>
      <c r="AK1" s="2"/>
    </row>
    <row r="2" spans="1:37" x14ac:dyDescent="0.25">
      <c r="A2" s="4" t="s">
        <v>3</v>
      </c>
      <c r="B2" s="5" t="s">
        <v>4</v>
      </c>
      <c r="C2" s="4" t="s">
        <v>3</v>
      </c>
      <c r="D2" s="5" t="s">
        <v>5</v>
      </c>
      <c r="E2" s="4" t="s">
        <v>3</v>
      </c>
      <c r="F2" s="5" t="s">
        <v>6</v>
      </c>
      <c r="G2" s="6" t="s">
        <v>7</v>
      </c>
      <c r="H2" s="7" t="str">
        <f t="shared" ref="H2:AK2" si="0">"Who" &amp; COLUMN(H2)-7</f>
        <v>Who1</v>
      </c>
      <c r="I2" s="7" t="str">
        <f t="shared" si="0"/>
        <v>Who2</v>
      </c>
      <c r="J2" s="7" t="str">
        <f t="shared" si="0"/>
        <v>Who3</v>
      </c>
      <c r="K2" s="7" t="str">
        <f t="shared" si="0"/>
        <v>Who4</v>
      </c>
      <c r="L2" s="7" t="str">
        <f t="shared" si="0"/>
        <v>Who5</v>
      </c>
      <c r="M2" s="7" t="str">
        <f t="shared" si="0"/>
        <v>Who6</v>
      </c>
      <c r="N2" s="7" t="str">
        <f t="shared" si="0"/>
        <v>Who7</v>
      </c>
      <c r="O2" s="7" t="str">
        <f t="shared" si="0"/>
        <v>Who8</v>
      </c>
      <c r="P2" s="7" t="str">
        <f t="shared" si="0"/>
        <v>Who9</v>
      </c>
      <c r="Q2" s="7" t="str">
        <f t="shared" si="0"/>
        <v>Who10</v>
      </c>
      <c r="R2" s="7" t="str">
        <f t="shared" si="0"/>
        <v>Who11</v>
      </c>
      <c r="S2" s="7" t="str">
        <f t="shared" si="0"/>
        <v>Who12</v>
      </c>
      <c r="T2" s="7" t="str">
        <f t="shared" si="0"/>
        <v>Who13</v>
      </c>
      <c r="U2" s="7" t="str">
        <f t="shared" si="0"/>
        <v>Who14</v>
      </c>
      <c r="V2" s="7" t="str">
        <f t="shared" si="0"/>
        <v>Who15</v>
      </c>
      <c r="W2" s="7" t="str">
        <f t="shared" si="0"/>
        <v>Who16</v>
      </c>
      <c r="X2" s="7" t="str">
        <f t="shared" si="0"/>
        <v>Who17</v>
      </c>
      <c r="Y2" s="7" t="str">
        <f t="shared" si="0"/>
        <v>Who18</v>
      </c>
      <c r="Z2" s="7" t="str">
        <f t="shared" si="0"/>
        <v>Who19</v>
      </c>
      <c r="AA2" s="7" t="str">
        <f t="shared" si="0"/>
        <v>Who20</v>
      </c>
      <c r="AB2" s="7" t="str">
        <f t="shared" si="0"/>
        <v>Who21</v>
      </c>
      <c r="AC2" s="7" t="str">
        <f t="shared" si="0"/>
        <v>Who22</v>
      </c>
      <c r="AD2" s="7" t="str">
        <f t="shared" si="0"/>
        <v>Who23</v>
      </c>
      <c r="AE2" s="7" t="str">
        <f t="shared" si="0"/>
        <v>Who24</v>
      </c>
      <c r="AF2" s="7" t="str">
        <f t="shared" si="0"/>
        <v>Who25</v>
      </c>
      <c r="AG2" s="7" t="str">
        <f t="shared" si="0"/>
        <v>Who26</v>
      </c>
      <c r="AH2" s="7" t="str">
        <f t="shared" si="0"/>
        <v>Who27</v>
      </c>
      <c r="AI2" s="7" t="str">
        <f t="shared" si="0"/>
        <v>Who28</v>
      </c>
      <c r="AJ2" s="7" t="str">
        <f t="shared" si="0"/>
        <v>Who29</v>
      </c>
      <c r="AK2" s="7" t="str">
        <f t="shared" si="0"/>
        <v>Who30</v>
      </c>
    </row>
    <row r="3" spans="1:37" x14ac:dyDescent="0.25">
      <c r="A3" s="8">
        <v>0</v>
      </c>
      <c r="B3" s="9" t="s">
        <v>8</v>
      </c>
      <c r="C3" s="8">
        <f ca="1">IFERROR(COUNTIFS($A$2:$A3,OFFSET(ref_select_who!$A$1,MATCH(Selected_Who,ref_select_who!$B:$B,0)-1,0),$D$2:$D3,"&gt; "),"")</f>
        <v>0</v>
      </c>
      <c r="D3" s="9" t="s">
        <v>8</v>
      </c>
      <c r="E3" s="8">
        <f ca="1">IFERROR(COUNTIFS($A$2:$A3,OFFSET(ref_select_who!$A$1,MATCH(Selected_Who,ref_select_who!$B:$B,0)-1,0),$C$2:$C3,OFFSET(ref_select_who!$A$1,MATCH(Selected_Why,ref_select_who!$C:$C,0)-1,0),$F$2:$F3,"&gt; "),"")</f>
        <v>0</v>
      </c>
      <c r="F3" s="9" t="s">
        <v>8</v>
      </c>
      <c r="G3" s="10" t="str">
        <f ca="1">IF(AND(LEN(F3)&gt;0,E3=OFFSET(ref_select_who!$A$1,MATCH(Selected_How,ref_select_who!$D:$D,0)-1,0),C3=OFFSET(ref_select_who!$A$1,MATCH(Selected_Why,ref_select_who!$C:$C,0)-1,0),A3=OFFSET(ref_select_who!$A$1,MATCH(Selected_Who,ref_select_who!$B:$B,0)-1,0)),TRUE,"")</f>
        <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row>
    <row r="4" spans="1:37" x14ac:dyDescent="0.25">
      <c r="A4" s="8">
        <f>IF(LEN(B4)&gt;0,A3+1,A3)</f>
        <v>1</v>
      </c>
      <c r="B4" s="9" t="s">
        <v>9</v>
      </c>
      <c r="C4" s="8">
        <f ca="1">IFERROR(COUNTIFS($A$2:$A4,OFFSET(ref_select_who!$A$1,MATCH(Selected_Who,ref_select_who!$B:$B,0)-1,0),$D$2:$D4,"&gt; "),"")</f>
        <v>0</v>
      </c>
      <c r="D4" s="9" t="s">
        <v>10</v>
      </c>
      <c r="E4" s="8">
        <f ca="1">IFERROR(COUNTIFS($A$2:$A4,OFFSET(ref_select_who!$A$1,MATCH(Selected_Who,ref_select_who!$B:$B,0)-1,0),$C$2:$C4,OFFSET(ref_select_who!$A$1,MATCH(Selected_Why,ref_select_who!$C:$C,0)-1,0),$F$2:$F4,"&gt; "),"")</f>
        <v>0</v>
      </c>
      <c r="F4" s="9" t="s">
        <v>11</v>
      </c>
      <c r="G4" s="10" t="str">
        <f ca="1">IF(AND(LEN(F4)&gt;0,E4=OFFSET(ref_select_who!$A$1,MATCH(Selected_How,ref_select_who!$D:$D,0)-1,0),C4=OFFSET(ref_select_who!$A$1,MATCH(Selected_Why,ref_select_who!$C:$C,0)-1,0),A4=OFFSET(ref_select_who!$A$1,MATCH(Selected_Who,ref_select_who!$B:$B,0)-1,0)),TRUE,"")</f>
        <v/>
      </c>
      <c r="H4" s="11"/>
      <c r="I4" s="11"/>
      <c r="J4" s="11" t="s">
        <v>12</v>
      </c>
      <c r="K4" s="11"/>
      <c r="L4" s="11"/>
      <c r="M4" s="11" t="s">
        <v>12</v>
      </c>
      <c r="N4" s="11"/>
      <c r="O4" s="11"/>
      <c r="P4" s="11" t="s">
        <v>12</v>
      </c>
      <c r="Q4" s="11"/>
      <c r="R4" s="11"/>
      <c r="S4" s="11" t="s">
        <v>12</v>
      </c>
      <c r="T4" s="11"/>
      <c r="U4" s="11"/>
      <c r="V4" s="11" t="s">
        <v>12</v>
      </c>
      <c r="W4" s="11"/>
      <c r="X4" s="11"/>
      <c r="Y4" s="11" t="s">
        <v>12</v>
      </c>
      <c r="Z4" s="11"/>
      <c r="AA4" s="11"/>
      <c r="AB4" s="11" t="s">
        <v>12</v>
      </c>
      <c r="AC4" s="11"/>
      <c r="AD4" s="11"/>
      <c r="AE4" s="11" t="s">
        <v>12</v>
      </c>
      <c r="AF4" s="11"/>
      <c r="AG4" s="11"/>
      <c r="AH4" s="11" t="s">
        <v>12</v>
      </c>
      <c r="AI4" s="11"/>
      <c r="AJ4" s="11"/>
      <c r="AK4" s="11" t="s">
        <v>12</v>
      </c>
    </row>
    <row r="5" spans="1:37" x14ac:dyDescent="0.25">
      <c r="A5" s="8">
        <f t="shared" ref="A5:A20" si="1">IF(LEN(B5)&gt;0,A4+1,A4)</f>
        <v>1</v>
      </c>
      <c r="B5" s="9"/>
      <c r="C5" s="8">
        <f ca="1">IFERROR(COUNTIFS($A$2:$A5,OFFSET(ref_select_who!$A$1,MATCH(Selected_Who,ref_select_who!$B:$B,0)-1,0),$D$2:$D5,"&gt; "),"")</f>
        <v>0</v>
      </c>
      <c r="D5" s="9"/>
      <c r="E5" s="8">
        <f ca="1">IFERROR(COUNTIFS($A$2:$A5,OFFSET(ref_select_who!$A$1,MATCH(Selected_Who,ref_select_who!$B:$B,0)-1,0),$C$2:$C5,OFFSET(ref_select_who!$A$1,MATCH(Selected_Why,ref_select_who!$C:$C,0)-1,0),$F$2:$F5,"&gt; "),"")</f>
        <v>0</v>
      </c>
      <c r="F5" s="9" t="s">
        <v>13</v>
      </c>
      <c r="G5" s="10" t="str">
        <f ca="1">IF(AND(LEN(F5)&gt;0,E5=OFFSET(ref_select_who!$A$1,MATCH(Selected_How,ref_select_who!$D:$D,0)-1,0),C5=OFFSET(ref_select_who!$A$1,MATCH(Selected_Why,ref_select_who!$C:$C,0)-1,0),A5=OFFSET(ref_select_who!$A$1,MATCH(Selected_Who,ref_select_who!$B:$B,0)-1,0)),TRUE,"")</f>
        <v/>
      </c>
      <c r="H5" s="11"/>
      <c r="I5" s="11" t="s">
        <v>12</v>
      </c>
      <c r="J5" s="11"/>
      <c r="K5" s="11"/>
      <c r="L5" s="11" t="s">
        <v>12</v>
      </c>
      <c r="M5" s="11"/>
      <c r="N5" s="11"/>
      <c r="O5" s="11" t="s">
        <v>12</v>
      </c>
      <c r="P5" s="11"/>
      <c r="Q5" s="11"/>
      <c r="R5" s="11" t="s">
        <v>12</v>
      </c>
      <c r="S5" s="11"/>
      <c r="T5" s="11"/>
      <c r="U5" s="11" t="s">
        <v>12</v>
      </c>
      <c r="V5" s="11"/>
      <c r="W5" s="11"/>
      <c r="X5" s="11" t="s">
        <v>12</v>
      </c>
      <c r="Y5" s="11"/>
      <c r="Z5" s="11"/>
      <c r="AA5" s="11" t="s">
        <v>12</v>
      </c>
      <c r="AB5" s="11"/>
      <c r="AC5" s="11"/>
      <c r="AD5" s="11" t="s">
        <v>12</v>
      </c>
      <c r="AE5" s="11"/>
      <c r="AF5" s="11"/>
      <c r="AG5" s="11" t="s">
        <v>12</v>
      </c>
      <c r="AH5" s="11"/>
      <c r="AI5" s="11"/>
      <c r="AJ5" s="11" t="s">
        <v>12</v>
      </c>
      <c r="AK5" s="11"/>
    </row>
    <row r="6" spans="1:37" x14ac:dyDescent="0.25">
      <c r="A6" s="8">
        <f t="shared" si="1"/>
        <v>1</v>
      </c>
      <c r="B6" s="9"/>
      <c r="C6" s="8">
        <f ca="1">IFERROR(COUNTIFS($A$2:$A6,OFFSET(ref_select_who!$A$1,MATCH(Selected_Who,ref_select_who!$B:$B,0)-1,0),$D$2:$D6,"&gt; "),"")</f>
        <v>0</v>
      </c>
      <c r="D6" s="9" t="s">
        <v>14</v>
      </c>
      <c r="E6" s="8">
        <f ca="1">IFERROR(COUNTIFS($A$2:$A6,OFFSET(ref_select_who!$A$1,MATCH(Selected_Who,ref_select_who!$B:$B,0)-1,0),$C$2:$C6,OFFSET(ref_select_who!$A$1,MATCH(Selected_Why,ref_select_who!$C:$C,0)-1,0),$F$2:$F6,"&gt; "),"")</f>
        <v>0</v>
      </c>
      <c r="F6" s="9" t="s">
        <v>13</v>
      </c>
      <c r="G6" s="10" t="str">
        <f ca="1">IF(AND(LEN(F6)&gt;0,E6=OFFSET(ref_select_who!$A$1,MATCH(Selected_How,ref_select_who!$D:$D,0)-1,0),C6=OFFSET(ref_select_who!$A$1,MATCH(Selected_Why,ref_select_who!$C:$C,0)-1,0),A6=OFFSET(ref_select_who!$A$1,MATCH(Selected_Who,ref_select_who!$B:$B,0)-1,0)),TRUE,"")</f>
        <v/>
      </c>
      <c r="H6" s="11"/>
      <c r="I6" s="11" t="s">
        <v>12</v>
      </c>
      <c r="J6" s="11"/>
      <c r="K6" s="11"/>
      <c r="L6" s="11" t="s">
        <v>12</v>
      </c>
      <c r="M6" s="11"/>
      <c r="N6" s="11"/>
      <c r="O6" s="11" t="s">
        <v>12</v>
      </c>
      <c r="P6" s="11"/>
      <c r="Q6" s="11"/>
      <c r="R6" s="11" t="s">
        <v>12</v>
      </c>
      <c r="S6" s="11"/>
      <c r="T6" s="11"/>
      <c r="U6" s="11" t="s">
        <v>12</v>
      </c>
      <c r="V6" s="11"/>
      <c r="W6" s="11"/>
      <c r="X6" s="11" t="s">
        <v>12</v>
      </c>
      <c r="Y6" s="11"/>
      <c r="Z6" s="11"/>
      <c r="AA6" s="11" t="s">
        <v>12</v>
      </c>
      <c r="AB6" s="11"/>
      <c r="AC6" s="11"/>
      <c r="AD6" s="11" t="s">
        <v>12</v>
      </c>
      <c r="AE6" s="11"/>
      <c r="AF6" s="11"/>
      <c r="AG6" s="11" t="s">
        <v>12</v>
      </c>
      <c r="AH6" s="11"/>
      <c r="AI6" s="11"/>
      <c r="AJ6" s="11" t="s">
        <v>12</v>
      </c>
      <c r="AK6" s="11"/>
    </row>
    <row r="7" spans="1:37" x14ac:dyDescent="0.25">
      <c r="A7" s="8">
        <f t="shared" si="1"/>
        <v>1</v>
      </c>
      <c r="B7" s="9"/>
      <c r="C7" s="8">
        <f ca="1">IFERROR(COUNTIFS($A$2:$A7,OFFSET(ref_select_who!$A$1,MATCH(Selected_Who,ref_select_who!$B:$B,0)-1,0),$D$2:$D7,"&gt; "),"")</f>
        <v>0</v>
      </c>
      <c r="D7" s="9"/>
      <c r="E7" s="8">
        <f ca="1">IFERROR(COUNTIFS($A$2:$A7,OFFSET(ref_select_who!$A$1,MATCH(Selected_Who,ref_select_who!$B:$B,0)-1,0),$C$2:$C7,OFFSET(ref_select_who!$A$1,MATCH(Selected_Why,ref_select_who!$C:$C,0)-1,0),$F$2:$F7,"&gt; "),"")</f>
        <v>0</v>
      </c>
      <c r="F7" s="9" t="s">
        <v>15</v>
      </c>
      <c r="G7" s="10" t="str">
        <f ca="1">IF(AND(LEN(F7)&gt;0,E7=OFFSET(ref_select_who!$A$1,MATCH(Selected_How,ref_select_who!$D:$D,0)-1,0),C7=OFFSET(ref_select_who!$A$1,MATCH(Selected_Why,ref_select_who!$C:$C,0)-1,0),A7=OFFSET(ref_select_who!$A$1,MATCH(Selected_Who,ref_select_who!$B:$B,0)-1,0)),TRUE,"")</f>
        <v/>
      </c>
      <c r="H7" s="11" t="s">
        <v>12</v>
      </c>
      <c r="I7" s="11"/>
      <c r="J7" s="11"/>
      <c r="K7" s="11" t="s">
        <v>12</v>
      </c>
      <c r="L7" s="11"/>
      <c r="M7" s="11"/>
      <c r="N7" s="11" t="s">
        <v>12</v>
      </c>
      <c r="O7" s="11"/>
      <c r="P7" s="11"/>
      <c r="Q7" s="11" t="s">
        <v>12</v>
      </c>
      <c r="R7" s="11"/>
      <c r="S7" s="11"/>
      <c r="T7" s="11" t="s">
        <v>12</v>
      </c>
      <c r="U7" s="11"/>
      <c r="V7" s="11"/>
      <c r="W7" s="11" t="s">
        <v>12</v>
      </c>
      <c r="X7" s="11"/>
      <c r="Y7" s="11"/>
      <c r="Z7" s="11" t="s">
        <v>12</v>
      </c>
      <c r="AA7" s="11"/>
      <c r="AB7" s="11"/>
      <c r="AC7" s="11" t="s">
        <v>12</v>
      </c>
      <c r="AD7" s="11"/>
      <c r="AE7" s="11"/>
      <c r="AF7" s="11" t="s">
        <v>12</v>
      </c>
      <c r="AG7" s="11"/>
      <c r="AH7" s="11"/>
      <c r="AI7" s="11" t="s">
        <v>12</v>
      </c>
      <c r="AJ7" s="11"/>
      <c r="AK7" s="11"/>
    </row>
    <row r="8" spans="1:37" x14ac:dyDescent="0.25">
      <c r="A8" s="8">
        <f t="shared" si="1"/>
        <v>1</v>
      </c>
      <c r="B8" s="9"/>
      <c r="C8" s="8">
        <f ca="1">IFERROR(COUNTIFS($A$2:$A8,OFFSET(ref_select_who!$A$1,MATCH(Selected_Who,ref_select_who!$B:$B,0)-1,0),$D$2:$D8,"&gt; "),"")</f>
        <v>0</v>
      </c>
      <c r="D8" s="9" t="s">
        <v>16</v>
      </c>
      <c r="E8" s="8">
        <f ca="1">IFERROR(COUNTIFS($A$2:$A8,OFFSET(ref_select_who!$A$1,MATCH(Selected_Who,ref_select_who!$B:$B,0)-1,0),$C$2:$C8,OFFSET(ref_select_who!$A$1,MATCH(Selected_Why,ref_select_who!$C:$C,0)-1,0),$F$2:$F8,"&gt; "),"")</f>
        <v>0</v>
      </c>
      <c r="F8" s="9" t="s">
        <v>15</v>
      </c>
      <c r="G8" s="10" t="str">
        <f ca="1">IF(AND(LEN(F8)&gt;0,E8=OFFSET(ref_select_who!$A$1,MATCH(Selected_How,ref_select_who!$D:$D,0)-1,0),C8=OFFSET(ref_select_who!$A$1,MATCH(Selected_Why,ref_select_who!$C:$C,0)-1,0),A8=OFFSET(ref_select_who!$A$1,MATCH(Selected_Who,ref_select_who!$B:$B,0)-1,0)),TRUE,"")</f>
        <v/>
      </c>
      <c r="H8" s="11" t="s">
        <v>12</v>
      </c>
      <c r="I8" s="11"/>
      <c r="J8" s="11"/>
      <c r="K8" s="11" t="s">
        <v>12</v>
      </c>
      <c r="L8" s="11"/>
      <c r="M8" s="11"/>
      <c r="N8" s="11" t="s">
        <v>12</v>
      </c>
      <c r="O8" s="11"/>
      <c r="P8" s="11"/>
      <c r="Q8" s="11" t="s">
        <v>12</v>
      </c>
      <c r="R8" s="11"/>
      <c r="S8" s="11"/>
      <c r="T8" s="11" t="s">
        <v>12</v>
      </c>
      <c r="U8" s="11"/>
      <c r="V8" s="11"/>
      <c r="W8" s="11" t="s">
        <v>12</v>
      </c>
      <c r="X8" s="11"/>
      <c r="Y8" s="11"/>
      <c r="Z8" s="11" t="s">
        <v>12</v>
      </c>
      <c r="AA8" s="11"/>
      <c r="AB8" s="11"/>
      <c r="AC8" s="11" t="s">
        <v>12</v>
      </c>
      <c r="AD8" s="11"/>
      <c r="AE8" s="11"/>
      <c r="AF8" s="11" t="s">
        <v>12</v>
      </c>
      <c r="AG8" s="11"/>
      <c r="AH8" s="11"/>
      <c r="AI8" s="11" t="s">
        <v>12</v>
      </c>
      <c r="AJ8" s="11"/>
      <c r="AK8" s="11"/>
    </row>
    <row r="9" spans="1:37" x14ac:dyDescent="0.25">
      <c r="A9" s="8">
        <f t="shared" si="1"/>
        <v>2</v>
      </c>
      <c r="B9" s="9" t="s">
        <v>17</v>
      </c>
      <c r="C9" s="8">
        <f ca="1">IFERROR(COUNTIFS($A$2:$A9,OFFSET(ref_select_who!$A$1,MATCH(Selected_Who,ref_select_who!$B:$B,0)-1,0),$D$2:$D9,"&gt; "),"")</f>
        <v>0</v>
      </c>
      <c r="D9" s="9" t="s">
        <v>14</v>
      </c>
      <c r="E9" s="8">
        <f ca="1">IFERROR(COUNTIFS($A$2:$A9,OFFSET(ref_select_who!$A$1,MATCH(Selected_Who,ref_select_who!$B:$B,0)-1,0),$C$2:$C9,OFFSET(ref_select_who!$A$1,MATCH(Selected_Why,ref_select_who!$C:$C,0)-1,0),$F$2:$F9,"&gt; "),"")</f>
        <v>0</v>
      </c>
      <c r="F9" s="9" t="s">
        <v>13</v>
      </c>
      <c r="G9" s="10" t="str">
        <f ca="1">IF(AND(LEN(F9)&gt;0,E9=OFFSET(ref_select_who!$A$1,MATCH(Selected_How,ref_select_who!$D:$D,0)-1,0),C9=OFFSET(ref_select_who!$A$1,MATCH(Selected_Why,ref_select_who!$C:$C,0)-1,0),A9=OFFSET(ref_select_who!$A$1,MATCH(Selected_Who,ref_select_who!$B:$B,0)-1,0)),TRUE,"")</f>
        <v/>
      </c>
      <c r="H9" s="11"/>
      <c r="I9" s="11" t="s">
        <v>12</v>
      </c>
      <c r="J9" s="11"/>
      <c r="K9" s="11"/>
      <c r="L9" s="11" t="s">
        <v>12</v>
      </c>
      <c r="M9" s="11"/>
      <c r="N9" s="11"/>
      <c r="O9" s="11" t="s">
        <v>12</v>
      </c>
      <c r="P9" s="11"/>
      <c r="Q9" s="11"/>
      <c r="R9" s="11" t="s">
        <v>12</v>
      </c>
      <c r="S9" s="11"/>
      <c r="T9" s="11"/>
      <c r="U9" s="11" t="s">
        <v>12</v>
      </c>
      <c r="V9" s="11"/>
      <c r="W9" s="11"/>
      <c r="X9" s="11" t="s">
        <v>12</v>
      </c>
      <c r="Y9" s="11"/>
      <c r="Z9" s="11"/>
      <c r="AA9" s="11" t="s">
        <v>12</v>
      </c>
      <c r="AB9" s="11"/>
      <c r="AC9" s="11"/>
      <c r="AD9" s="11" t="s">
        <v>12</v>
      </c>
      <c r="AE9" s="11"/>
      <c r="AF9" s="11"/>
      <c r="AG9" s="11" t="s">
        <v>12</v>
      </c>
      <c r="AH9" s="11"/>
      <c r="AI9" s="11"/>
      <c r="AJ9" s="11" t="s">
        <v>12</v>
      </c>
      <c r="AK9" s="11"/>
    </row>
    <row r="10" spans="1:37" x14ac:dyDescent="0.25">
      <c r="A10" s="8">
        <f t="shared" si="1"/>
        <v>2</v>
      </c>
      <c r="B10" s="9"/>
      <c r="C10" s="8">
        <f ca="1">IFERROR(COUNTIFS($A$2:$A10,OFFSET(ref_select_who!$A$1,MATCH(Selected_Who,ref_select_who!$B:$B,0)-1,0),$D$2:$D10,"&gt; "),"")</f>
        <v>0</v>
      </c>
      <c r="D10" s="9"/>
      <c r="E10" s="8">
        <f ca="1">IFERROR(COUNTIFS($A$2:$A10,OFFSET(ref_select_who!$A$1,MATCH(Selected_Who,ref_select_who!$B:$B,0)-1,0),$C$2:$C10,OFFSET(ref_select_who!$A$1,MATCH(Selected_Why,ref_select_who!$C:$C,0)-1,0),$F$2:$F10,"&gt; "),"")</f>
        <v>0</v>
      </c>
      <c r="F10" s="9" t="s">
        <v>15</v>
      </c>
      <c r="G10" s="10" t="str">
        <f ca="1">IF(AND(LEN(F10)&gt;0,E10=OFFSET(ref_select_who!$A$1,MATCH(Selected_How,ref_select_who!$D:$D,0)-1,0),C10=OFFSET(ref_select_who!$A$1,MATCH(Selected_Why,ref_select_who!$C:$C,0)-1,0),A10=OFFSET(ref_select_who!$A$1,MATCH(Selected_Who,ref_select_who!$B:$B,0)-1,0)),TRUE,"")</f>
        <v/>
      </c>
      <c r="H10" s="11" t="s">
        <v>12</v>
      </c>
      <c r="I10" s="11"/>
      <c r="J10" s="11"/>
      <c r="K10" s="11" t="s">
        <v>12</v>
      </c>
      <c r="L10" s="11"/>
      <c r="M10" s="11"/>
      <c r="N10" s="11" t="s">
        <v>12</v>
      </c>
      <c r="O10" s="11"/>
      <c r="P10" s="11"/>
      <c r="Q10" s="11" t="s">
        <v>12</v>
      </c>
      <c r="R10" s="11"/>
      <c r="S10" s="11"/>
      <c r="T10" s="11" t="s">
        <v>12</v>
      </c>
      <c r="U10" s="11"/>
      <c r="V10" s="11"/>
      <c r="W10" s="11" t="s">
        <v>12</v>
      </c>
      <c r="X10" s="11"/>
      <c r="Y10" s="11"/>
      <c r="Z10" s="11" t="s">
        <v>12</v>
      </c>
      <c r="AA10" s="11"/>
      <c r="AB10" s="11"/>
      <c r="AC10" s="11" t="s">
        <v>12</v>
      </c>
      <c r="AD10" s="11"/>
      <c r="AE10" s="11"/>
      <c r="AF10" s="11" t="s">
        <v>12</v>
      </c>
      <c r="AG10" s="11"/>
      <c r="AH10" s="11"/>
      <c r="AI10" s="11" t="s">
        <v>12</v>
      </c>
      <c r="AJ10" s="11"/>
      <c r="AK10" s="11"/>
    </row>
    <row r="11" spans="1:37" x14ac:dyDescent="0.25">
      <c r="A11" s="8">
        <f t="shared" si="1"/>
        <v>2</v>
      </c>
      <c r="B11" s="9"/>
      <c r="C11" s="8">
        <f ca="1">IFERROR(COUNTIFS($A$2:$A11,OFFSET(ref_select_who!$A$1,MATCH(Selected_Who,ref_select_who!$B:$B,0)-1,0),$D$2:$D11,"&gt; "),"")</f>
        <v>0</v>
      </c>
      <c r="D11" s="9" t="s">
        <v>16</v>
      </c>
      <c r="E11" s="8">
        <f ca="1">IFERROR(COUNTIFS($A$2:$A11,OFFSET(ref_select_who!$A$1,MATCH(Selected_Who,ref_select_who!$B:$B,0)-1,0),$C$2:$C11,OFFSET(ref_select_who!$A$1,MATCH(Selected_Why,ref_select_who!$C:$C,0)-1,0),$F$2:$F11,"&gt; "),"")</f>
        <v>0</v>
      </c>
      <c r="F11" s="9" t="s">
        <v>15</v>
      </c>
      <c r="G11" s="10" t="str">
        <f ca="1">IF(AND(LEN(F11)&gt;0,E11=OFFSET(ref_select_who!$A$1,MATCH(Selected_How,ref_select_who!$D:$D,0)-1,0),C11=OFFSET(ref_select_who!$A$1,MATCH(Selected_Why,ref_select_who!$C:$C,0)-1,0),A11=OFFSET(ref_select_who!$A$1,MATCH(Selected_Who,ref_select_who!$B:$B,0)-1,0)),TRUE,"")</f>
        <v/>
      </c>
      <c r="H11" s="11" t="s">
        <v>12</v>
      </c>
      <c r="I11" s="11"/>
      <c r="J11" s="11"/>
      <c r="K11" s="11" t="s">
        <v>12</v>
      </c>
      <c r="L11" s="11"/>
      <c r="M11" s="11"/>
      <c r="N11" s="11" t="s">
        <v>12</v>
      </c>
      <c r="O11" s="11"/>
      <c r="P11" s="11"/>
      <c r="Q11" s="11" t="s">
        <v>12</v>
      </c>
      <c r="R11" s="11"/>
      <c r="S11" s="11"/>
      <c r="T11" s="11" t="s">
        <v>12</v>
      </c>
      <c r="U11" s="11"/>
      <c r="V11" s="11"/>
      <c r="W11" s="11" t="s">
        <v>12</v>
      </c>
      <c r="X11" s="11"/>
      <c r="Y11" s="11"/>
      <c r="Z11" s="11" t="s">
        <v>12</v>
      </c>
      <c r="AA11" s="11"/>
      <c r="AB11" s="11"/>
      <c r="AC11" s="11" t="s">
        <v>12</v>
      </c>
      <c r="AD11" s="11"/>
      <c r="AE11" s="11"/>
      <c r="AF11" s="11" t="s">
        <v>12</v>
      </c>
      <c r="AG11" s="11"/>
      <c r="AH11" s="11"/>
      <c r="AI11" s="11" t="s">
        <v>12</v>
      </c>
      <c r="AJ11" s="11"/>
      <c r="AK11" s="11"/>
    </row>
    <row r="12" spans="1:37" x14ac:dyDescent="0.25">
      <c r="A12" s="8">
        <f t="shared" si="1"/>
        <v>3</v>
      </c>
      <c r="B12" s="9" t="s">
        <v>18</v>
      </c>
      <c r="C12" s="8">
        <f ca="1">IFERROR(COUNTIFS($A$2:$A12,OFFSET(ref_select_who!$A$1,MATCH(Selected_Who,ref_select_who!$B:$B,0)-1,0),$D$2:$D12,"&gt; "),"")</f>
        <v>1</v>
      </c>
      <c r="D12" s="9" t="s">
        <v>19</v>
      </c>
      <c r="E12" s="8">
        <f ca="1">IFERROR(COUNTIFS($A$2:$A12,OFFSET(ref_select_who!$A$1,MATCH(Selected_Who,ref_select_who!$B:$B,0)-1,0),$C$2:$C12,OFFSET(ref_select_who!$A$1,MATCH(Selected_Why,ref_select_who!$C:$C,0)-1,0),$F$2:$F12,"&gt; "),"")</f>
        <v>0</v>
      </c>
      <c r="F12" s="9" t="s">
        <v>13</v>
      </c>
      <c r="G12" s="10" t="str">
        <f ca="1">IF(AND(LEN(F12)&gt;0,E12=OFFSET(ref_select_who!$A$1,MATCH(Selected_How,ref_select_who!$D:$D,0)-1,0),C12=OFFSET(ref_select_who!$A$1,MATCH(Selected_Why,ref_select_who!$C:$C,0)-1,0),A12=OFFSET(ref_select_who!$A$1,MATCH(Selected_Who,ref_select_who!$B:$B,0)-1,0)),TRUE,"")</f>
        <v/>
      </c>
      <c r="H12" s="11"/>
      <c r="I12" s="11" t="s">
        <v>12</v>
      </c>
      <c r="J12" s="11"/>
      <c r="K12" s="11"/>
      <c r="L12" s="11" t="s">
        <v>12</v>
      </c>
      <c r="M12" s="11"/>
      <c r="N12" s="11"/>
      <c r="O12" s="11" t="s">
        <v>12</v>
      </c>
      <c r="P12" s="11"/>
      <c r="Q12" s="11"/>
      <c r="R12" s="11" t="s">
        <v>12</v>
      </c>
      <c r="S12" s="11"/>
      <c r="T12" s="11"/>
      <c r="U12" s="11" t="s">
        <v>12</v>
      </c>
      <c r="V12" s="11"/>
      <c r="W12" s="11"/>
      <c r="X12" s="11" t="s">
        <v>12</v>
      </c>
      <c r="Y12" s="11"/>
      <c r="Z12" s="11"/>
      <c r="AA12" s="11" t="s">
        <v>12</v>
      </c>
      <c r="AB12" s="11"/>
      <c r="AC12" s="11"/>
      <c r="AD12" s="11" t="s">
        <v>12</v>
      </c>
      <c r="AE12" s="11"/>
      <c r="AF12" s="11"/>
      <c r="AG12" s="11" t="s">
        <v>12</v>
      </c>
      <c r="AH12" s="11"/>
      <c r="AI12" s="11"/>
      <c r="AJ12" s="11" t="s">
        <v>12</v>
      </c>
      <c r="AK12" s="11"/>
    </row>
    <row r="13" spans="1:37" x14ac:dyDescent="0.25">
      <c r="A13" s="8">
        <f t="shared" si="1"/>
        <v>3</v>
      </c>
      <c r="B13" s="9"/>
      <c r="C13" s="8">
        <f ca="1">IFERROR(COUNTIFS($A$2:$A13,OFFSET(ref_select_who!$A$1,MATCH(Selected_Who,ref_select_who!$B:$B,0)-1,0),$D$2:$D13,"&gt; "),"")</f>
        <v>1</v>
      </c>
      <c r="D13" s="9"/>
      <c r="E13" s="8">
        <f ca="1">IFERROR(COUNTIFS($A$2:$A13,OFFSET(ref_select_who!$A$1,MATCH(Selected_Who,ref_select_who!$B:$B,0)-1,0),$C$2:$C13,OFFSET(ref_select_who!$A$1,MATCH(Selected_Why,ref_select_who!$C:$C,0)-1,0),$F$2:$F13,"&gt; "),"")</f>
        <v>0</v>
      </c>
      <c r="F13" s="9" t="s">
        <v>15</v>
      </c>
      <c r="G13" s="10" t="str">
        <f ca="1">IF(AND(LEN(F13)&gt;0,E13=OFFSET(ref_select_who!$A$1,MATCH(Selected_How,ref_select_who!$D:$D,0)-1,0),C13=OFFSET(ref_select_who!$A$1,MATCH(Selected_Why,ref_select_who!$C:$C,0)-1,0),A13=OFFSET(ref_select_who!$A$1,MATCH(Selected_Who,ref_select_who!$B:$B,0)-1,0)),TRUE,"")</f>
        <v/>
      </c>
      <c r="H13" s="11" t="s">
        <v>12</v>
      </c>
      <c r="I13" s="11"/>
      <c r="J13" s="11"/>
      <c r="K13" s="11" t="s">
        <v>12</v>
      </c>
      <c r="L13" s="11"/>
      <c r="M13" s="11"/>
      <c r="N13" s="11" t="s">
        <v>12</v>
      </c>
      <c r="O13" s="11"/>
      <c r="P13" s="11"/>
      <c r="Q13" s="11" t="s">
        <v>12</v>
      </c>
      <c r="R13" s="11"/>
      <c r="S13" s="11"/>
      <c r="T13" s="11" t="s">
        <v>12</v>
      </c>
      <c r="U13" s="11"/>
      <c r="V13" s="11"/>
      <c r="W13" s="11" t="s">
        <v>12</v>
      </c>
      <c r="X13" s="11"/>
      <c r="Y13" s="11"/>
      <c r="Z13" s="11" t="s">
        <v>12</v>
      </c>
      <c r="AA13" s="11"/>
      <c r="AB13" s="11"/>
      <c r="AC13" s="11" t="s">
        <v>12</v>
      </c>
      <c r="AD13" s="11"/>
      <c r="AE13" s="11"/>
      <c r="AF13" s="11" t="s">
        <v>12</v>
      </c>
      <c r="AG13" s="11"/>
      <c r="AH13" s="11"/>
      <c r="AI13" s="11" t="s">
        <v>12</v>
      </c>
      <c r="AJ13" s="11"/>
      <c r="AK13" s="11"/>
    </row>
    <row r="14" spans="1:37" x14ac:dyDescent="0.25">
      <c r="A14" s="8">
        <f t="shared" si="1"/>
        <v>3</v>
      </c>
      <c r="B14" s="9"/>
      <c r="C14" s="8">
        <f ca="1">IFERROR(COUNTIFS($A$2:$A14,OFFSET(ref_select_who!$A$1,MATCH(Selected_Who,ref_select_who!$B:$B,0)-1,0),$D$2:$D14,"&gt; "),"")</f>
        <v>2</v>
      </c>
      <c r="D14" s="9" t="s">
        <v>16</v>
      </c>
      <c r="E14" s="8">
        <f ca="1">IFERROR(COUNTIFS($A$2:$A14,OFFSET(ref_select_who!$A$1,MATCH(Selected_Who,ref_select_who!$B:$B,0)-1,0),$C$2:$C14,OFFSET(ref_select_who!$A$1,MATCH(Selected_Why,ref_select_who!$C:$C,0)-1,0),$F$2:$F14,"&gt; "),"")</f>
        <v>0</v>
      </c>
      <c r="F14" s="9" t="s">
        <v>15</v>
      </c>
      <c r="G14" s="10" t="str">
        <f ca="1">IF(AND(LEN(F14)&gt;0,E14=OFFSET(ref_select_who!$A$1,MATCH(Selected_How,ref_select_who!$D:$D,0)-1,0),C14=OFFSET(ref_select_who!$A$1,MATCH(Selected_Why,ref_select_who!$C:$C,0)-1,0),A14=OFFSET(ref_select_who!$A$1,MATCH(Selected_Who,ref_select_who!$B:$B,0)-1,0)),TRUE,"")</f>
        <v/>
      </c>
      <c r="H14" s="11" t="s">
        <v>12</v>
      </c>
      <c r="I14" s="11"/>
      <c r="J14" s="11"/>
      <c r="K14" s="11" t="s">
        <v>12</v>
      </c>
      <c r="L14" s="11"/>
      <c r="M14" s="11"/>
      <c r="N14" s="11" t="s">
        <v>12</v>
      </c>
      <c r="O14" s="11"/>
      <c r="P14" s="11"/>
      <c r="Q14" s="11" t="s">
        <v>12</v>
      </c>
      <c r="R14" s="11"/>
      <c r="S14" s="11"/>
      <c r="T14" s="11" t="s">
        <v>12</v>
      </c>
      <c r="U14" s="11"/>
      <c r="V14" s="11"/>
      <c r="W14" s="11" t="s">
        <v>12</v>
      </c>
      <c r="X14" s="11"/>
      <c r="Y14" s="11"/>
      <c r="Z14" s="11" t="s">
        <v>12</v>
      </c>
      <c r="AA14" s="11"/>
      <c r="AB14" s="11"/>
      <c r="AC14" s="11" t="s">
        <v>12</v>
      </c>
      <c r="AD14" s="11"/>
      <c r="AE14" s="11"/>
      <c r="AF14" s="11" t="s">
        <v>12</v>
      </c>
      <c r="AG14" s="11"/>
      <c r="AH14" s="11"/>
      <c r="AI14" s="11" t="s">
        <v>12</v>
      </c>
      <c r="AJ14" s="11"/>
      <c r="AK14" s="11"/>
    </row>
    <row r="15" spans="1:37" x14ac:dyDescent="0.25">
      <c r="A15" s="8">
        <f t="shared" si="1"/>
        <v>3</v>
      </c>
      <c r="B15" s="9"/>
      <c r="C15" s="8">
        <f ca="1">IFERROR(COUNTIFS($A$2:$A15,OFFSET(ref_select_who!$A$1,MATCH(Selected_Who,ref_select_who!$B:$B,0)-1,0),$D$2:$D15,"&gt; "),"")</f>
        <v>3</v>
      </c>
      <c r="D15" s="9" t="s">
        <v>20</v>
      </c>
      <c r="E15" s="8">
        <f ca="1">IFERROR(COUNTIFS($A$2:$A15,OFFSET(ref_select_who!$A$1,MATCH(Selected_Who,ref_select_who!$B:$B,0)-1,0),$C$2:$C15,OFFSET(ref_select_who!$A$1,MATCH(Selected_Why,ref_select_who!$C:$C,0)-1,0),$F$2:$F15,"&gt; "),"")</f>
        <v>1</v>
      </c>
      <c r="F15" s="9" t="s">
        <v>15</v>
      </c>
      <c r="G15" s="10" t="b">
        <f ca="1">IF(AND(LEN(F15)&gt;0,E15=OFFSET(ref_select_who!$A$1,MATCH(Selected_How,ref_select_who!$D:$D,0)-1,0),C15=OFFSET(ref_select_who!$A$1,MATCH(Selected_Why,ref_select_who!$C:$C,0)-1,0),A15=OFFSET(ref_select_who!$A$1,MATCH(Selected_Who,ref_select_who!$B:$B,0)-1,0)),TRUE,"")</f>
        <v>1</v>
      </c>
      <c r="H15" s="11" t="s">
        <v>12</v>
      </c>
      <c r="I15" s="11"/>
      <c r="J15" s="11"/>
      <c r="K15" s="11" t="s">
        <v>12</v>
      </c>
      <c r="L15" s="11"/>
      <c r="M15" s="11"/>
      <c r="N15" s="11" t="s">
        <v>12</v>
      </c>
      <c r="O15" s="11"/>
      <c r="P15" s="11"/>
      <c r="Q15" s="11" t="s">
        <v>12</v>
      </c>
      <c r="R15" s="11"/>
      <c r="S15" s="11"/>
      <c r="T15" s="11" t="s">
        <v>12</v>
      </c>
      <c r="U15" s="11"/>
      <c r="V15" s="11"/>
      <c r="W15" s="11" t="s">
        <v>12</v>
      </c>
      <c r="X15" s="11"/>
      <c r="Y15" s="11"/>
      <c r="Z15" s="11" t="s">
        <v>12</v>
      </c>
      <c r="AA15" s="11"/>
      <c r="AB15" s="11"/>
      <c r="AC15" s="11" t="s">
        <v>12</v>
      </c>
      <c r="AD15" s="11"/>
      <c r="AE15" s="11"/>
      <c r="AF15" s="11" t="s">
        <v>12</v>
      </c>
      <c r="AG15" s="11"/>
      <c r="AH15" s="11"/>
      <c r="AI15" s="11" t="s">
        <v>12</v>
      </c>
      <c r="AJ15" s="11"/>
      <c r="AK15" s="11"/>
    </row>
    <row r="16" spans="1:37" x14ac:dyDescent="0.25">
      <c r="A16" s="8">
        <f t="shared" si="1"/>
        <v>3</v>
      </c>
      <c r="B16" s="9"/>
      <c r="C16" s="8">
        <f ca="1">IFERROR(COUNTIFS($A$2:$A16,OFFSET(ref_select_who!$A$1,MATCH(Selected_Who,ref_select_who!$B:$B,0)-1,0),$D$2:$D16,"&gt; "),"")</f>
        <v>3</v>
      </c>
      <c r="D16" s="9"/>
      <c r="E16" s="8">
        <f ca="1">IFERROR(COUNTIFS($A$2:$A16,OFFSET(ref_select_who!$A$1,MATCH(Selected_Who,ref_select_who!$B:$B,0)-1,0),$C$2:$C16,OFFSET(ref_select_who!$A$1,MATCH(Selected_Why,ref_select_who!$C:$C,0)-1,0),$F$2:$F16,"&gt; "),"")</f>
        <v>1</v>
      </c>
      <c r="F16" s="9"/>
      <c r="G16" s="10" t="str">
        <f ca="1">IF(AND(LEN(F16)&gt;0,E16=OFFSET(ref_select_who!$A$1,MATCH(Selected_How,ref_select_who!$D:$D,0)-1,0),C16=OFFSET(ref_select_who!$A$1,MATCH(Selected_Why,ref_select_who!$C:$C,0)-1,0),A16=OFFSET(ref_select_who!$A$1,MATCH(Selected_Who,ref_select_who!$B:$B,0)-1,0)),TRUE,"")</f>
        <v/>
      </c>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x14ac:dyDescent="0.25">
      <c r="A17" s="8">
        <f t="shared" si="1"/>
        <v>3</v>
      </c>
      <c r="B17" s="9"/>
      <c r="C17" s="8">
        <f ca="1">IFERROR(COUNTIFS($A$2:$A17,OFFSET(ref_select_who!$A$1,MATCH(Selected_Who,ref_select_who!$B:$B,0)-1,0),$D$2:$D17,"&gt; "),"")</f>
        <v>3</v>
      </c>
      <c r="D17" s="9"/>
      <c r="E17" s="8">
        <f ca="1">IFERROR(COUNTIFS($A$2:$A17,OFFSET(ref_select_who!$A$1,MATCH(Selected_Who,ref_select_who!$B:$B,0)-1,0),$C$2:$C17,OFFSET(ref_select_who!$A$1,MATCH(Selected_Why,ref_select_who!$C:$C,0)-1,0),$F$2:$F17,"&gt; "),"")</f>
        <v>1</v>
      </c>
      <c r="F17" s="9"/>
      <c r="G17" s="10" t="str">
        <f ca="1">IF(AND(LEN(F17)&gt;0,E17=OFFSET(ref_select_who!$A$1,MATCH(Selected_How,ref_select_who!$D:$D,0)-1,0),C17=OFFSET(ref_select_who!$A$1,MATCH(Selected_Why,ref_select_who!$C:$C,0)-1,0),A17=OFFSET(ref_select_who!$A$1,MATCH(Selected_Who,ref_select_who!$B:$B,0)-1,0)),TRUE,"")</f>
        <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5">
      <c r="A18" s="8">
        <f t="shared" si="1"/>
        <v>3</v>
      </c>
      <c r="B18" s="9"/>
      <c r="C18" s="8">
        <f ca="1">IFERROR(COUNTIFS($A$2:$A18,OFFSET(ref_select_who!$A$1,MATCH(Selected_Who,ref_select_who!$B:$B,0)-1,0),$D$2:$D18,"&gt; "),"")</f>
        <v>3</v>
      </c>
      <c r="D18" s="9"/>
      <c r="E18" s="8">
        <f ca="1">IFERROR(COUNTIFS($A$2:$A18,OFFSET(ref_select_who!$A$1,MATCH(Selected_Who,ref_select_who!$B:$B,0)-1,0),$C$2:$C18,OFFSET(ref_select_who!$A$1,MATCH(Selected_Why,ref_select_who!$C:$C,0)-1,0),$F$2:$F18,"&gt; "),"")</f>
        <v>1</v>
      </c>
      <c r="F18" s="9"/>
      <c r="G18" s="10" t="str">
        <f ca="1">IF(AND(LEN(F18)&gt;0,E18=OFFSET(ref_select_who!$A$1,MATCH(Selected_How,ref_select_who!$D:$D,0)-1,0),C18=OFFSET(ref_select_who!$A$1,MATCH(Selected_Why,ref_select_who!$C:$C,0)-1,0),A18=OFFSET(ref_select_who!$A$1,MATCH(Selected_Who,ref_select_who!$B:$B,0)-1,0)),TRUE,"")</f>
        <v/>
      </c>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x14ac:dyDescent="0.25">
      <c r="A19" s="8">
        <f t="shared" si="1"/>
        <v>3</v>
      </c>
      <c r="B19" s="9"/>
      <c r="C19" s="8">
        <f ca="1">IFERROR(COUNTIFS($A$2:$A19,OFFSET(ref_select_who!$A$1,MATCH(Selected_Who,ref_select_who!$B:$B,0)-1,0),$D$2:$D19,"&gt; "),"")</f>
        <v>3</v>
      </c>
      <c r="D19" s="9"/>
      <c r="E19" s="8">
        <f ca="1">IFERROR(COUNTIFS($A$2:$A19,OFFSET(ref_select_who!$A$1,MATCH(Selected_Who,ref_select_who!$B:$B,0)-1,0),$C$2:$C19,OFFSET(ref_select_who!$A$1,MATCH(Selected_Why,ref_select_who!$C:$C,0)-1,0),$F$2:$F19,"&gt; "),"")</f>
        <v>1</v>
      </c>
      <c r="F19" s="9"/>
      <c r="G19" s="10" t="str">
        <f ca="1">IF(AND(LEN(F19)&gt;0,E19=OFFSET(ref_select_who!$A$1,MATCH(Selected_How,ref_select_who!$D:$D,0)-1,0),C19=OFFSET(ref_select_who!$A$1,MATCH(Selected_Why,ref_select_who!$C:$C,0)-1,0),A19=OFFSET(ref_select_who!$A$1,MATCH(Selected_Who,ref_select_who!$B:$B,0)-1,0)),TRUE,"")</f>
        <v/>
      </c>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row>
    <row r="20" spans="1:37" x14ac:dyDescent="0.25">
      <c r="A20" s="8">
        <f t="shared" si="1"/>
        <v>3</v>
      </c>
      <c r="B20" s="9"/>
      <c r="C20" s="8">
        <f ca="1">IFERROR(COUNTIFS($A$2:$A20,OFFSET(ref_select_who!$A$1,MATCH(Selected_Who,ref_select_who!$B:$B,0)-1,0),$D$2:$D20,"&gt; "),"")</f>
        <v>3</v>
      </c>
      <c r="D20" s="9"/>
      <c r="E20" s="8">
        <f ca="1">IFERROR(COUNTIFS($A$2:$A20,OFFSET(ref_select_who!$A$1,MATCH(Selected_Who,ref_select_who!$B:$B,0)-1,0),$C$2:$C20,OFFSET(ref_select_who!$A$1,MATCH(Selected_Why,ref_select_who!$C:$C,0)-1,0),$F$2:$F20,"&gt; "),"")</f>
        <v>1</v>
      </c>
      <c r="F20" s="9"/>
      <c r="G20" s="10" t="str">
        <f ca="1">IF(AND(LEN(F20)&gt;0,E20=OFFSET(ref_select_who!$A$1,MATCH(Selected_How,ref_select_who!$D:$D,0)-1,0),C20=OFFSET(ref_select_who!$A$1,MATCH(Selected_Why,ref_select_who!$C:$C,0)-1,0),A20=OFFSET(ref_select_who!$A$1,MATCH(Selected_Who,ref_select_who!$B:$B,0)-1,0)),TRUE,"")</f>
        <v/>
      </c>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5" tint="0.39997558519241921"/>
  </sheetPr>
  <dimension ref="A1:AK25"/>
  <sheetViews>
    <sheetView workbookViewId="0">
      <selection activeCell="I7" sqref="I7"/>
    </sheetView>
  </sheetViews>
  <sheetFormatPr defaultRowHeight="15" x14ac:dyDescent="0.25"/>
  <cols>
    <col min="1" max="1" width="2.85546875" customWidth="1"/>
    <col min="2" max="2" width="29.42578125" customWidth="1"/>
    <col min="3" max="3" width="3.28515625" customWidth="1"/>
    <col min="4" max="4" width="29" customWidth="1"/>
    <col min="5" max="5" width="3.42578125" customWidth="1"/>
    <col min="6" max="6" width="31.5703125" customWidth="1"/>
    <col min="8" max="37" width="7.28515625" customWidth="1"/>
  </cols>
  <sheetData>
    <row r="1" spans="1:37" x14ac:dyDescent="0.25">
      <c r="A1" s="1" t="s">
        <v>0</v>
      </c>
      <c r="C1" s="2"/>
      <c r="E1" s="2"/>
      <c r="G1" s="3" t="s">
        <v>1</v>
      </c>
      <c r="H1" s="1" t="s">
        <v>2</v>
      </c>
      <c r="I1" s="2"/>
      <c r="J1" s="2"/>
      <c r="K1" s="2"/>
      <c r="L1" s="2"/>
      <c r="M1" s="2"/>
      <c r="N1" s="2"/>
      <c r="O1" s="2"/>
      <c r="P1" s="2"/>
      <c r="Q1" s="2"/>
      <c r="R1" s="2"/>
      <c r="S1" s="2"/>
      <c r="T1" s="2"/>
      <c r="U1" s="2"/>
      <c r="V1" s="2"/>
      <c r="W1" s="2"/>
      <c r="X1" s="2"/>
      <c r="Y1" s="2"/>
      <c r="Z1" s="2"/>
      <c r="AA1" s="2"/>
      <c r="AB1" s="2"/>
      <c r="AC1" s="2"/>
      <c r="AD1" s="2"/>
      <c r="AE1" s="2"/>
      <c r="AF1" s="2"/>
      <c r="AG1" s="2"/>
      <c r="AH1" s="2"/>
      <c r="AI1" s="2"/>
      <c r="AJ1" s="2"/>
      <c r="AK1" s="2"/>
    </row>
    <row r="2" spans="1:37" x14ac:dyDescent="0.25">
      <c r="A2" s="4" t="s">
        <v>3</v>
      </c>
      <c r="B2" s="5" t="s">
        <v>21</v>
      </c>
      <c r="C2" s="4" t="s">
        <v>3</v>
      </c>
      <c r="D2" s="5" t="s">
        <v>22</v>
      </c>
      <c r="E2" s="4" t="s">
        <v>3</v>
      </c>
      <c r="F2" s="5" t="s">
        <v>23</v>
      </c>
      <c r="G2" s="6" t="s">
        <v>7</v>
      </c>
      <c r="H2" s="7" t="str">
        <f t="shared" ref="H2:AK2" si="0">"What" &amp; COLUMN(H2)-7</f>
        <v>What1</v>
      </c>
      <c r="I2" s="7" t="str">
        <f t="shared" si="0"/>
        <v>What2</v>
      </c>
      <c r="J2" s="7" t="str">
        <f t="shared" si="0"/>
        <v>What3</v>
      </c>
      <c r="K2" s="7" t="str">
        <f t="shared" si="0"/>
        <v>What4</v>
      </c>
      <c r="L2" s="7" t="str">
        <f t="shared" si="0"/>
        <v>What5</v>
      </c>
      <c r="M2" s="7" t="str">
        <f t="shared" si="0"/>
        <v>What6</v>
      </c>
      <c r="N2" s="7" t="str">
        <f t="shared" si="0"/>
        <v>What7</v>
      </c>
      <c r="O2" s="7" t="str">
        <f t="shared" si="0"/>
        <v>What8</v>
      </c>
      <c r="P2" s="7" t="str">
        <f t="shared" si="0"/>
        <v>What9</v>
      </c>
      <c r="Q2" s="7" t="str">
        <f t="shared" si="0"/>
        <v>What10</v>
      </c>
      <c r="R2" s="7" t="str">
        <f t="shared" si="0"/>
        <v>What11</v>
      </c>
      <c r="S2" s="7" t="str">
        <f t="shared" si="0"/>
        <v>What12</v>
      </c>
      <c r="T2" s="7" t="str">
        <f t="shared" si="0"/>
        <v>What13</v>
      </c>
      <c r="U2" s="7" t="str">
        <f t="shared" si="0"/>
        <v>What14</v>
      </c>
      <c r="V2" s="7" t="str">
        <f t="shared" si="0"/>
        <v>What15</v>
      </c>
      <c r="W2" s="7" t="str">
        <f t="shared" si="0"/>
        <v>What16</v>
      </c>
      <c r="X2" s="7" t="str">
        <f t="shared" si="0"/>
        <v>What17</v>
      </c>
      <c r="Y2" s="7" t="str">
        <f t="shared" si="0"/>
        <v>What18</v>
      </c>
      <c r="Z2" s="7" t="str">
        <f t="shared" si="0"/>
        <v>What19</v>
      </c>
      <c r="AA2" s="7" t="str">
        <f t="shared" si="0"/>
        <v>What20</v>
      </c>
      <c r="AB2" s="7" t="str">
        <f t="shared" si="0"/>
        <v>What21</v>
      </c>
      <c r="AC2" s="7" t="str">
        <f t="shared" si="0"/>
        <v>What22</v>
      </c>
      <c r="AD2" s="7" t="str">
        <f t="shared" si="0"/>
        <v>What23</v>
      </c>
      <c r="AE2" s="7" t="str">
        <f t="shared" si="0"/>
        <v>What24</v>
      </c>
      <c r="AF2" s="7" t="str">
        <f t="shared" si="0"/>
        <v>What25</v>
      </c>
      <c r="AG2" s="7" t="str">
        <f t="shared" si="0"/>
        <v>What26</v>
      </c>
      <c r="AH2" s="7" t="str">
        <f t="shared" si="0"/>
        <v>What27</v>
      </c>
      <c r="AI2" s="7" t="str">
        <f t="shared" si="0"/>
        <v>What28</v>
      </c>
      <c r="AJ2" s="7" t="str">
        <f t="shared" si="0"/>
        <v>What29</v>
      </c>
      <c r="AK2" s="7" t="str">
        <f t="shared" si="0"/>
        <v>What30</v>
      </c>
    </row>
    <row r="3" spans="1:37" x14ac:dyDescent="0.25">
      <c r="A3" s="8">
        <v>0</v>
      </c>
      <c r="B3" s="9" t="s">
        <v>8</v>
      </c>
      <c r="C3" s="8">
        <f ca="1">IFERROR(COUNTIFS($A$2:$A3,OFFSET(ref_select_what!$A$1,MATCH(selected_service,ref_select_what!$B:$B,0)-1,0),$D$2:$D3,"&gt; "),"")</f>
        <v>0</v>
      </c>
      <c r="D3" s="9" t="s">
        <v>8</v>
      </c>
      <c r="E3" s="8">
        <f ca="1">IFERROR(COUNTIFS($A$2:$A3,OFFSET(ref_select_what!$A$1,MATCH(selected_service,ref_select_what!$B:$B,0)-1,0),$C$2:$C3,OFFSET(ref_select_what!$A$1,MATCH(selected_option1,ref_select_what!$C:$C,0)-1,0),$F$2:$F3,"&gt; "),"")</f>
        <v>0</v>
      </c>
      <c r="F3" s="9" t="s">
        <v>8</v>
      </c>
      <c r="G3" s="10" t="str">
        <f ca="1">IF(AND(LEN(F3)&gt;0,E3=OFFSET(ref_select_what!$A$1,MATCH(selected_option2,ref_select_what!$D:$D,0)-1,0),C3=OFFSET(ref_select_what!$A$1,MATCH(selected_option1,ref_select_what!$C:$C,0)-1,0),A3=OFFSET(ref_select_what!$A$1,MATCH(selected_service,ref_select_what!$B:$B,0)-1,0)),TRUE,"")</f>
        <v/>
      </c>
      <c r="H3" s="11"/>
      <c r="I3" s="11"/>
      <c r="J3" s="11"/>
      <c r="K3" s="11"/>
      <c r="L3" s="11"/>
      <c r="M3" s="11"/>
      <c r="N3" s="11"/>
      <c r="O3" s="11"/>
      <c r="P3" s="11"/>
      <c r="Q3" s="11"/>
      <c r="R3" s="11"/>
      <c r="S3" s="11"/>
      <c r="T3" s="11"/>
      <c r="U3" s="11"/>
      <c r="V3" s="11"/>
      <c r="W3" s="11"/>
      <c r="X3" s="11"/>
      <c r="Y3" s="11"/>
      <c r="Z3" s="11"/>
      <c r="AA3" s="11"/>
      <c r="AB3" s="11"/>
      <c r="AC3" s="11"/>
      <c r="AD3" s="11"/>
      <c r="AE3" s="11"/>
      <c r="AF3" s="11"/>
      <c r="AG3" s="11"/>
      <c r="AH3" s="11"/>
      <c r="AI3" s="11"/>
      <c r="AJ3" s="11"/>
      <c r="AK3" s="11"/>
    </row>
    <row r="4" spans="1:37" x14ac:dyDescent="0.25">
      <c r="A4" s="8">
        <f>IF(LEN(B4)&gt;0,A3+1,A3)</f>
        <v>1</v>
      </c>
      <c r="B4" s="9" t="s">
        <v>27</v>
      </c>
      <c r="C4" s="8">
        <f ca="1">IFERROR(COUNTIFS($A$2:$A4,OFFSET(ref_select_what!$A$1,MATCH(selected_service,ref_select_what!$B:$B,0)-1,0),$D$2:$D4,"&gt; "),"")</f>
        <v>1</v>
      </c>
      <c r="D4" s="9" t="s">
        <v>28</v>
      </c>
      <c r="E4" s="8">
        <f ca="1">IFERROR(COUNTIFS($A$2:$A4,OFFSET(ref_select_what!$A$1,MATCH(selected_service,ref_select_what!$B:$B,0)-1,0),$C$2:$C4,OFFSET(ref_select_what!$A$1,MATCH(selected_option1,ref_select_what!$C:$C,0)-1,0),$F$2:$F4,"&gt; "),"")</f>
        <v>0</v>
      </c>
      <c r="F4" s="9" t="s">
        <v>29</v>
      </c>
      <c r="G4" s="10" t="str">
        <f ca="1">IF(AND(LEN(F4)&gt;0,E4=OFFSET(ref_select_what!$A$1,MATCH(selected_option2,ref_select_what!$D:$D,0)-1,0),C4=OFFSET(ref_select_what!$A$1,MATCH(selected_option1,ref_select_what!$C:$C,0)-1,0),A4=OFFSET(ref_select_what!$A$1,MATCH(selected_service,ref_select_what!$B:$B,0)-1,0)),TRUE,"")</f>
        <v/>
      </c>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row>
    <row r="5" spans="1:37" x14ac:dyDescent="0.25">
      <c r="A5" s="8">
        <f t="shared" ref="A5:A20" si="1">IF(LEN(B5)&gt;0,A4+1,A4)</f>
        <v>1</v>
      </c>
      <c r="B5" s="9"/>
      <c r="C5" s="8">
        <f ca="1">IFERROR(COUNTIFS($A$2:$A5,OFFSET(ref_select_what!$A$1,MATCH(selected_service,ref_select_what!$B:$B,0)-1,0),$D$2:$D5,"&gt; "),"")</f>
        <v>1</v>
      </c>
      <c r="D5" s="9"/>
      <c r="E5" s="8">
        <f ca="1">IFERROR(COUNTIFS($A$2:$A5,OFFSET(ref_select_what!$A$1,MATCH(selected_service,ref_select_what!$B:$B,0)-1,0),$C$2:$C5,OFFSET(ref_select_what!$A$1,MATCH(selected_option1,ref_select_what!$C:$C,0)-1,0),$F$2:$F5,"&gt; "),"")</f>
        <v>0</v>
      </c>
      <c r="F5" s="9" t="s">
        <v>30</v>
      </c>
      <c r="G5" s="10" t="str">
        <f ca="1">IF(AND(LEN(F5)&gt;0,E5=OFFSET(ref_select_what!$A$1,MATCH(selected_option2,ref_select_what!$D:$D,0)-1,0),C5=OFFSET(ref_select_what!$A$1,MATCH(selected_option1,ref_select_what!$C:$C,0)-1,0),A5=OFFSET(ref_select_what!$A$1,MATCH(selected_service,ref_select_what!$B:$B,0)-1,0)),TRUE,"")</f>
        <v/>
      </c>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row>
    <row r="6" spans="1:37" x14ac:dyDescent="0.25">
      <c r="A6" s="8">
        <f t="shared" si="1"/>
        <v>1</v>
      </c>
      <c r="B6" s="9"/>
      <c r="C6" s="8">
        <f ca="1">IFERROR(COUNTIFS($A$2:$A6,OFFSET(ref_select_what!$A$1,MATCH(selected_service,ref_select_what!$B:$B,0)-1,0),$D$2:$D6,"&gt; "),"")</f>
        <v>2</v>
      </c>
      <c r="D6" s="9" t="s">
        <v>31</v>
      </c>
      <c r="E6" s="8">
        <f ca="1">IFERROR(COUNTIFS($A$2:$A6,OFFSET(ref_select_what!$A$1,MATCH(selected_service,ref_select_what!$B:$B,0)-1,0),$C$2:$C6,OFFSET(ref_select_what!$A$1,MATCH(selected_option1,ref_select_what!$C:$C,0)-1,0),$F$2:$F6,"&gt; "),"")</f>
        <v>1</v>
      </c>
      <c r="F6" s="9" t="s">
        <v>32</v>
      </c>
      <c r="G6" s="10" t="b">
        <f ca="1">IF(AND(LEN(F6)&gt;0,E6=OFFSET(ref_select_what!$A$1,MATCH(selected_option2,ref_select_what!$D:$D,0)-1,0),C6=OFFSET(ref_select_what!$A$1,MATCH(selected_option1,ref_select_what!$C:$C,0)-1,0),A6=OFFSET(ref_select_what!$A$1,MATCH(selected_service,ref_select_what!$B:$B,0)-1,0)),TRUE,"")</f>
        <v>1</v>
      </c>
      <c r="H6" s="11" t="s">
        <v>12</v>
      </c>
      <c r="I6" s="11" t="s">
        <v>12</v>
      </c>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row>
    <row r="7" spans="1:37" x14ac:dyDescent="0.25">
      <c r="A7" s="8">
        <f t="shared" si="1"/>
        <v>1</v>
      </c>
      <c r="B7" s="9"/>
      <c r="C7" s="8">
        <f ca="1">IFERROR(COUNTIFS($A$2:$A7,OFFSET(ref_select_what!$A$1,MATCH(selected_service,ref_select_what!$B:$B,0)-1,0),$D$2:$D7,"&gt; "),"")</f>
        <v>2</v>
      </c>
      <c r="D7" s="9"/>
      <c r="E7" s="8">
        <f ca="1">IFERROR(COUNTIFS($A$2:$A7,OFFSET(ref_select_what!$A$1,MATCH(selected_service,ref_select_what!$B:$B,0)-1,0),$C$2:$C7,OFFSET(ref_select_what!$A$1,MATCH(selected_option1,ref_select_what!$C:$C,0)-1,0),$F$2:$F7,"&gt; "),"")</f>
        <v>2</v>
      </c>
      <c r="F7" s="9" t="s">
        <v>33</v>
      </c>
      <c r="G7" s="10" t="str">
        <f ca="1">IF(AND(LEN(F7)&gt;0,E7=OFFSET(ref_select_what!$A$1,MATCH(selected_option2,ref_select_what!$D:$D,0)-1,0),C7=OFFSET(ref_select_what!$A$1,MATCH(selected_option1,ref_select_what!$C:$C,0)-1,0),A7=OFFSET(ref_select_what!$A$1,MATCH(selected_service,ref_select_what!$B:$B,0)-1,0)),TRUE,"")</f>
        <v/>
      </c>
      <c r="H7" s="11"/>
      <c r="I7" s="11" t="s">
        <v>12</v>
      </c>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row>
    <row r="8" spans="1:37" x14ac:dyDescent="0.25">
      <c r="A8" s="8">
        <f t="shared" si="1"/>
        <v>1</v>
      </c>
      <c r="B8" s="9"/>
      <c r="C8" s="8">
        <f ca="1">IFERROR(COUNTIFS($A$2:$A8,OFFSET(ref_select_what!$A$1,MATCH(selected_service,ref_select_what!$B:$B,0)-1,0),$D$2:$D8,"&gt; "),"")</f>
        <v>2</v>
      </c>
      <c r="D8" s="9"/>
      <c r="E8" s="8">
        <f ca="1">IFERROR(COUNTIFS($A$2:$A8,OFFSET(ref_select_what!$A$1,MATCH(selected_service,ref_select_what!$B:$B,0)-1,0),$C$2:$C8,OFFSET(ref_select_what!$A$1,MATCH(selected_option1,ref_select_what!$C:$C,0)-1,0),$F$2:$F8,"&gt; "),"")</f>
        <v>3</v>
      </c>
      <c r="F8" s="9" t="s">
        <v>34</v>
      </c>
      <c r="G8" s="10" t="str">
        <f ca="1">IF(AND(LEN(F8)&gt;0,E8=OFFSET(ref_select_what!$A$1,MATCH(selected_option2,ref_select_what!$D:$D,0)-1,0),C8=OFFSET(ref_select_what!$A$1,MATCH(selected_option1,ref_select_what!$C:$C,0)-1,0),A8=OFFSET(ref_select_what!$A$1,MATCH(selected_service,ref_select_what!$B:$B,0)-1,0)),TRUE,"")</f>
        <v/>
      </c>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row>
    <row r="9" spans="1:37" x14ac:dyDescent="0.25">
      <c r="A9" s="8">
        <f t="shared" si="1"/>
        <v>1</v>
      </c>
      <c r="B9" s="9"/>
      <c r="C9" s="8">
        <f ca="1">IFERROR(COUNTIFS($A$2:$A9,OFFSET(ref_select_what!$A$1,MATCH(selected_service,ref_select_what!$B:$B,0)-1,0),$D$2:$D9,"&gt; "),"")</f>
        <v>2</v>
      </c>
      <c r="D9" s="9"/>
      <c r="E9" s="8">
        <f ca="1">IFERROR(COUNTIFS($A$2:$A9,OFFSET(ref_select_what!$A$1,MATCH(selected_service,ref_select_what!$B:$B,0)-1,0),$C$2:$C9,OFFSET(ref_select_what!$A$1,MATCH(selected_option1,ref_select_what!$C:$C,0)-1,0),$F$2:$F9,"&gt; "),"")</f>
        <v>4</v>
      </c>
      <c r="F9" s="9" t="s">
        <v>35</v>
      </c>
      <c r="G9" s="10" t="str">
        <f ca="1">IF(AND(LEN(F9)&gt;0,E9=OFFSET(ref_select_what!$A$1,MATCH(selected_option2,ref_select_what!$D:$D,0)-1,0),C9=OFFSET(ref_select_what!$A$1,MATCH(selected_option1,ref_select_what!$C:$C,0)-1,0),A9=OFFSET(ref_select_what!$A$1,MATCH(selected_service,ref_select_what!$B:$B,0)-1,0)),TRUE,"")</f>
        <v/>
      </c>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row>
    <row r="10" spans="1:37" x14ac:dyDescent="0.25">
      <c r="A10" s="8">
        <f t="shared" si="1"/>
        <v>1</v>
      </c>
      <c r="B10" s="9"/>
      <c r="C10" s="8">
        <f ca="1">IFERROR(COUNTIFS($A$2:$A10,OFFSET(ref_select_what!$A$1,MATCH(selected_service,ref_select_what!$B:$B,0)-1,0),$D$2:$D10,"&gt; "),"")</f>
        <v>2</v>
      </c>
      <c r="D10" s="9"/>
      <c r="E10" s="8">
        <f ca="1">IFERROR(COUNTIFS($A$2:$A10,OFFSET(ref_select_what!$A$1,MATCH(selected_service,ref_select_what!$B:$B,0)-1,0),$C$2:$C10,OFFSET(ref_select_what!$A$1,MATCH(selected_option1,ref_select_what!$C:$C,0)-1,0),$F$2:$F10,"&gt; "),"")</f>
        <v>5</v>
      </c>
      <c r="F10" s="9" t="s">
        <v>37</v>
      </c>
      <c r="G10" s="10" t="str">
        <f ca="1">IF(AND(LEN(F10)&gt;0,E10=OFFSET(ref_select_what!$A$1,MATCH(selected_option2,ref_select_what!$D:$D,0)-1,0),C10=OFFSET(ref_select_what!$A$1,MATCH(selected_option1,ref_select_what!$C:$C,0)-1,0),A10=OFFSET(ref_select_what!$A$1,MATCH(selected_service,ref_select_what!$B:$B,0)-1,0)),TRUE,"")</f>
        <v/>
      </c>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row>
    <row r="11" spans="1:37" x14ac:dyDescent="0.25">
      <c r="A11" s="8">
        <f t="shared" si="1"/>
        <v>1</v>
      </c>
      <c r="B11" s="9"/>
      <c r="C11" s="8">
        <f ca="1">IFERROR(COUNTIFS($A$2:$A11,OFFSET(ref_select_what!$A$1,MATCH(selected_service,ref_select_what!$B:$B,0)-1,0),$D$2:$D11,"&gt; "),"")</f>
        <v>3</v>
      </c>
      <c r="D11" s="9" t="s">
        <v>36</v>
      </c>
      <c r="E11" s="8">
        <f ca="1">IFERROR(COUNTIFS($A$2:$A11,OFFSET(ref_select_what!$A$1,MATCH(selected_service,ref_select_what!$B:$B,0)-1,0),$C$2:$C11,OFFSET(ref_select_what!$A$1,MATCH(selected_option1,ref_select_what!$C:$C,0)-1,0),$F$2:$F11,"&gt; "),"")</f>
        <v>5</v>
      </c>
      <c r="F11" s="9" t="s">
        <v>32</v>
      </c>
      <c r="G11" s="10" t="str">
        <f ca="1">IF(AND(LEN(F11)&gt;0,E11=OFFSET(ref_select_what!$A$1,MATCH(selected_option2,ref_select_what!$D:$D,0)-1,0),C11=OFFSET(ref_select_what!$A$1,MATCH(selected_option1,ref_select_what!$C:$C,0)-1,0),A11=OFFSET(ref_select_what!$A$1,MATCH(selected_service,ref_select_what!$B:$B,0)-1,0)),TRUE,"")</f>
        <v/>
      </c>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row>
    <row r="12" spans="1:37" x14ac:dyDescent="0.25">
      <c r="A12" s="8">
        <f t="shared" si="1"/>
        <v>1</v>
      </c>
      <c r="B12" s="9"/>
      <c r="C12" s="8">
        <f ca="1">IFERROR(COUNTIFS($A$2:$A12,OFFSET(ref_select_what!$A$1,MATCH(selected_service,ref_select_what!$B:$B,0)-1,0),$D$2:$D12,"&gt; "),"")</f>
        <v>3</v>
      </c>
      <c r="D12" s="9"/>
      <c r="E12" s="8">
        <f ca="1">IFERROR(COUNTIFS($A$2:$A12,OFFSET(ref_select_what!$A$1,MATCH(selected_service,ref_select_what!$B:$B,0)-1,0),$C$2:$C12,OFFSET(ref_select_what!$A$1,MATCH(selected_option1,ref_select_what!$C:$C,0)-1,0),$F$2:$F12,"&gt; "),"")</f>
        <v>5</v>
      </c>
      <c r="F12" s="9" t="s">
        <v>33</v>
      </c>
      <c r="G12" s="10" t="str">
        <f ca="1">IF(AND(LEN(F12)&gt;0,E12=OFFSET(ref_select_what!$A$1,MATCH(selected_option2,ref_select_what!$D:$D,0)-1,0),C12=OFFSET(ref_select_what!$A$1,MATCH(selected_option1,ref_select_what!$C:$C,0)-1,0),A12=OFFSET(ref_select_what!$A$1,MATCH(selected_service,ref_select_what!$B:$B,0)-1,0)),TRUE,"")</f>
        <v/>
      </c>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row>
    <row r="13" spans="1:37" x14ac:dyDescent="0.25">
      <c r="A13" s="8">
        <f t="shared" si="1"/>
        <v>1</v>
      </c>
      <c r="B13" s="9"/>
      <c r="C13" s="8">
        <f ca="1">IFERROR(COUNTIFS($A$2:$A13,OFFSET(ref_select_what!$A$1,MATCH(selected_service,ref_select_what!$B:$B,0)-1,0),$D$2:$D13,"&gt; "),"")</f>
        <v>3</v>
      </c>
      <c r="D13" s="9"/>
      <c r="E13" s="8">
        <f ca="1">IFERROR(COUNTIFS($A$2:$A13,OFFSET(ref_select_what!$A$1,MATCH(selected_service,ref_select_what!$B:$B,0)-1,0),$C$2:$C13,OFFSET(ref_select_what!$A$1,MATCH(selected_option1,ref_select_what!$C:$C,0)-1,0),$F$2:$F13,"&gt; "),"")</f>
        <v>5</v>
      </c>
      <c r="F13" s="9" t="s">
        <v>34</v>
      </c>
      <c r="G13" s="10" t="str">
        <f ca="1">IF(AND(LEN(F13)&gt;0,E13=OFFSET(ref_select_what!$A$1,MATCH(selected_option2,ref_select_what!$D:$D,0)-1,0),C13=OFFSET(ref_select_what!$A$1,MATCH(selected_option1,ref_select_what!$C:$C,0)-1,0),A13=OFFSET(ref_select_what!$A$1,MATCH(selected_service,ref_select_what!$B:$B,0)-1,0)),TRUE,"")</f>
        <v/>
      </c>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row>
    <row r="14" spans="1:37" x14ac:dyDescent="0.25">
      <c r="A14" s="8">
        <f t="shared" si="1"/>
        <v>1</v>
      </c>
      <c r="B14" s="9"/>
      <c r="C14" s="8">
        <f ca="1">IFERROR(COUNTIFS($A$2:$A14,OFFSET(ref_select_what!$A$1,MATCH(selected_service,ref_select_what!$B:$B,0)-1,0),$D$2:$D14,"&gt; "),"")</f>
        <v>3</v>
      </c>
      <c r="D14" s="9"/>
      <c r="E14" s="8">
        <f ca="1">IFERROR(COUNTIFS($A$2:$A14,OFFSET(ref_select_what!$A$1,MATCH(selected_service,ref_select_what!$B:$B,0)-1,0),$C$2:$C14,OFFSET(ref_select_what!$A$1,MATCH(selected_option1,ref_select_what!$C:$C,0)-1,0),$F$2:$F14,"&gt; "),"")</f>
        <v>5</v>
      </c>
      <c r="F14" s="9" t="s">
        <v>35</v>
      </c>
      <c r="G14" s="10" t="str">
        <f ca="1">IF(AND(LEN(F14)&gt;0,E14=OFFSET(ref_select_what!$A$1,MATCH(selected_option2,ref_select_what!$D:$D,0)-1,0),C14=OFFSET(ref_select_what!$A$1,MATCH(selected_option1,ref_select_what!$C:$C,0)-1,0),A14=OFFSET(ref_select_what!$A$1,MATCH(selected_service,ref_select_what!$B:$B,0)-1,0)),TRUE,"")</f>
        <v/>
      </c>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5">
      <c r="A15" s="8">
        <f t="shared" si="1"/>
        <v>1</v>
      </c>
      <c r="B15" s="9"/>
      <c r="C15" s="8">
        <f ca="1">IFERROR(COUNTIFS($A$2:$A15,OFFSET(ref_select_what!$A$1,MATCH(selected_service,ref_select_what!$B:$B,0)-1,0),$D$2:$D15,"&gt; "),"")</f>
        <v>3</v>
      </c>
      <c r="D15" s="9"/>
      <c r="E15" s="8">
        <f ca="1">IFERROR(COUNTIFS($A$2:$A15,OFFSET(ref_select_what!$A$1,MATCH(selected_service,ref_select_what!$B:$B,0)-1,0),$C$2:$C15,OFFSET(ref_select_what!$A$1,MATCH(selected_option1,ref_select_what!$C:$C,0)-1,0),$F$2:$F15,"&gt; "),"")</f>
        <v>5</v>
      </c>
      <c r="F15" s="9" t="s">
        <v>37</v>
      </c>
      <c r="G15" s="10" t="str">
        <f ca="1">IF(AND(LEN(F15)&gt;0,E15=OFFSET(ref_select_what!$A$1,MATCH(selected_option2,ref_select_what!$D:$D,0)-1,0),C15=OFFSET(ref_select_what!$A$1,MATCH(selected_option1,ref_select_what!$C:$C,0)-1,0),A15=OFFSET(ref_select_what!$A$1,MATCH(selected_service,ref_select_what!$B:$B,0)-1,0)),TRUE,"")</f>
        <v/>
      </c>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5">
      <c r="A16" s="8">
        <f t="shared" si="1"/>
        <v>1</v>
      </c>
      <c r="B16" s="9"/>
      <c r="C16" s="8">
        <f ca="1">IFERROR(COUNTIFS($A$2:$A16,OFFSET(ref_select_what!$A$1,MATCH(selected_service,ref_select_what!$B:$B,0)-1,0),$D$2:$D16,"&gt; "),"")</f>
        <v>4</v>
      </c>
      <c r="D16" s="9" t="s">
        <v>38</v>
      </c>
      <c r="E16" s="8">
        <f ca="1">IFERROR(COUNTIFS($A$2:$A16,OFFSET(ref_select_what!$A$1,MATCH(selected_service,ref_select_what!$B:$B,0)-1,0),$C$2:$C16,OFFSET(ref_select_what!$A$1,MATCH(selected_option1,ref_select_what!$C:$C,0)-1,0),$F$2:$F16,"&gt; "),"")</f>
        <v>5</v>
      </c>
      <c r="F16" s="9" t="s">
        <v>35</v>
      </c>
      <c r="G16" s="10" t="str">
        <f ca="1">IF(AND(LEN(F16)&gt;0,E16=OFFSET(ref_select_what!$A$1,MATCH(selected_option2,ref_select_what!$D:$D,0)-1,0),C16=OFFSET(ref_select_what!$A$1,MATCH(selected_option1,ref_select_what!$C:$C,0)-1,0),A16=OFFSET(ref_select_what!$A$1,MATCH(selected_service,ref_select_what!$B:$B,0)-1,0)),TRUE,"")</f>
        <v/>
      </c>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x14ac:dyDescent="0.25">
      <c r="A17" s="8">
        <f t="shared" si="1"/>
        <v>1</v>
      </c>
      <c r="B17" s="9"/>
      <c r="C17" s="8">
        <f ca="1">IFERROR(COUNTIFS($A$2:$A17,OFFSET(ref_select_what!$A$1,MATCH(selected_service,ref_select_what!$B:$B,0)-1,0),$D$2:$D17,"&gt; "),"")</f>
        <v>4</v>
      </c>
      <c r="D17" s="9"/>
      <c r="E17" s="8">
        <f ca="1">IFERROR(COUNTIFS($A$2:$A17,OFFSET(ref_select_what!$A$1,MATCH(selected_service,ref_select_what!$B:$B,0)-1,0),$C$2:$C17,OFFSET(ref_select_what!$A$1,MATCH(selected_option1,ref_select_what!$C:$C,0)-1,0),$F$2:$F17,"&gt; "),"")</f>
        <v>5</v>
      </c>
      <c r="F17" s="9" t="s">
        <v>37</v>
      </c>
      <c r="G17" s="10" t="str">
        <f ca="1">IF(AND(LEN(F17)&gt;0,E17=OFFSET(ref_select_what!$A$1,MATCH(selected_option2,ref_select_what!$D:$D,0)-1,0),C17=OFFSET(ref_select_what!$A$1,MATCH(selected_option1,ref_select_what!$C:$C,0)-1,0),A17=OFFSET(ref_select_what!$A$1,MATCH(selected_service,ref_select_what!$B:$B,0)-1,0)),TRUE,"")</f>
        <v/>
      </c>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5">
      <c r="A18" s="8">
        <f t="shared" si="1"/>
        <v>1</v>
      </c>
      <c r="B18" s="9"/>
      <c r="C18" s="8">
        <f ca="1">IFERROR(COUNTIFS($A$2:$A18,OFFSET(ref_select_what!$A$1,MATCH(selected_service,ref_select_what!$B:$B,0)-1,0),$D$2:$D18,"&gt; "),"")</f>
        <v>5</v>
      </c>
      <c r="D18" s="9" t="s">
        <v>39</v>
      </c>
      <c r="E18" s="8">
        <f ca="1">IFERROR(COUNTIFS($A$2:$A18,OFFSET(ref_select_what!$A$1,MATCH(selected_service,ref_select_what!$B:$B,0)-1,0),$C$2:$C18,OFFSET(ref_select_what!$A$1,MATCH(selected_option1,ref_select_what!$C:$C,0)-1,0),$F$2:$F18,"&gt; "),"")</f>
        <v>5</v>
      </c>
      <c r="F18" s="9" t="s">
        <v>32</v>
      </c>
      <c r="G18" s="10" t="str">
        <f ca="1">IF(AND(LEN(F18)&gt;0,E18=OFFSET(ref_select_what!$A$1,MATCH(selected_option2,ref_select_what!$D:$D,0)-1,0),C18=OFFSET(ref_select_what!$A$1,MATCH(selected_option1,ref_select_what!$C:$C,0)-1,0),A18=OFFSET(ref_select_what!$A$1,MATCH(selected_service,ref_select_what!$B:$B,0)-1,0)),TRUE,"")</f>
        <v/>
      </c>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x14ac:dyDescent="0.25">
      <c r="A19" s="8">
        <f t="shared" si="1"/>
        <v>1</v>
      </c>
      <c r="B19" s="9"/>
      <c r="C19" s="8">
        <f ca="1">IFERROR(COUNTIFS($A$2:$A19,OFFSET(ref_select_what!$A$1,MATCH(selected_service,ref_select_what!$B:$B,0)-1,0),$D$2:$D19,"&gt; "),"")</f>
        <v>5</v>
      </c>
      <c r="D19" s="9"/>
      <c r="E19" s="8">
        <f ca="1">IFERROR(COUNTIFS($A$2:$A19,OFFSET(ref_select_what!$A$1,MATCH(selected_service,ref_select_what!$B:$B,0)-1,0),$C$2:$C19,OFFSET(ref_select_what!$A$1,MATCH(selected_option1,ref_select_what!$C:$C,0)-1,0),$F$2:$F19,"&gt; "),"")</f>
        <v>5</v>
      </c>
      <c r="F19" s="9" t="s">
        <v>33</v>
      </c>
      <c r="G19" s="10" t="str">
        <f ca="1">IF(AND(LEN(F19)&gt;0,E19=OFFSET(ref_select_what!$A$1,MATCH(selected_option2,ref_select_what!$D:$D,0)-1,0),C19=OFFSET(ref_select_what!$A$1,MATCH(selected_option1,ref_select_what!$C:$C,0)-1,0),A19=OFFSET(ref_select_what!$A$1,MATCH(selected_service,ref_select_what!$B:$B,0)-1,0)),TRUE,"")</f>
        <v/>
      </c>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row>
    <row r="20" spans="1:37" x14ac:dyDescent="0.25">
      <c r="A20" s="8">
        <f t="shared" si="1"/>
        <v>1</v>
      </c>
      <c r="B20" s="9"/>
      <c r="C20" s="8">
        <f ca="1">IFERROR(COUNTIFS($A$2:$A20,OFFSET(ref_select_what!$A$1,MATCH(selected_service,ref_select_what!$B:$B,0)-1,0),$D$2:$D20,"&gt; "),"")</f>
        <v>5</v>
      </c>
      <c r="D20" s="9"/>
      <c r="E20" s="8">
        <f ca="1">IFERROR(COUNTIFS($A$2:$A20,OFFSET(ref_select_what!$A$1,MATCH(selected_service,ref_select_what!$B:$B,0)-1,0),$C$2:$C20,OFFSET(ref_select_what!$A$1,MATCH(selected_option1,ref_select_what!$C:$C,0)-1,0),$F$2:$F20,"&gt; "),"")</f>
        <v>5</v>
      </c>
      <c r="F20" s="9" t="s">
        <v>34</v>
      </c>
      <c r="G20" s="10" t="str">
        <f ca="1">IF(AND(LEN(F20)&gt;0,E20=OFFSET(ref_select_what!$A$1,MATCH(selected_option2,ref_select_what!$D:$D,0)-1,0),C20=OFFSET(ref_select_what!$A$1,MATCH(selected_option1,ref_select_what!$C:$C,0)-1,0),A20=OFFSET(ref_select_what!$A$1,MATCH(selected_service,ref_select_what!$B:$B,0)-1,0)),TRUE,"")</f>
        <v/>
      </c>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x14ac:dyDescent="0.25">
      <c r="A21" s="8">
        <f t="shared" ref="A21:A23" si="2">IF(LEN(B21)&gt;0,A20+1,A20)</f>
        <v>1</v>
      </c>
      <c r="B21" s="9"/>
      <c r="C21" s="8">
        <f ca="1">IFERROR(COUNTIFS($A$2:$A21,OFFSET(ref_select_what!$A$1,MATCH(selected_service,ref_select_what!$B:$B,0)-1,0),$D$2:$D21,"&gt; "),"")</f>
        <v>5</v>
      </c>
      <c r="D21" s="9"/>
      <c r="E21" s="8">
        <f ca="1">IFERROR(COUNTIFS($A$2:$A21,OFFSET(ref_select_what!$A$1,MATCH(selected_service,ref_select_what!$B:$B,0)-1,0),$C$2:$C21,OFFSET(ref_select_what!$A$1,MATCH(selected_option1,ref_select_what!$C:$C,0)-1,0),$F$2:$F21,"&gt; "),"")</f>
        <v>5</v>
      </c>
      <c r="F21" s="9" t="s">
        <v>35</v>
      </c>
      <c r="G21" s="10" t="str">
        <f ca="1">IF(AND(LEN(F21)&gt;0,E21=OFFSET(ref_select_what!$A$1,MATCH(selected_option2,ref_select_what!$D:$D,0)-1,0),C21=OFFSET(ref_select_what!$A$1,MATCH(selected_option1,ref_select_what!$C:$C,0)-1,0),A21=OFFSET(ref_select_what!$A$1,MATCH(selected_service,ref_select_what!$B:$B,0)-1,0)),TRUE,"")</f>
        <v/>
      </c>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x14ac:dyDescent="0.25">
      <c r="A22" s="8">
        <f t="shared" si="2"/>
        <v>1</v>
      </c>
      <c r="B22" s="9"/>
      <c r="C22" s="8">
        <f ca="1">IFERROR(COUNTIFS($A$2:$A22,OFFSET(ref_select_what!$A$1,MATCH(selected_service,ref_select_what!$B:$B,0)-1,0),$D$2:$D22,"&gt; "),"")</f>
        <v>5</v>
      </c>
      <c r="D22" s="9"/>
      <c r="E22" s="8">
        <f ca="1">IFERROR(COUNTIFS($A$2:$A22,OFFSET(ref_select_what!$A$1,MATCH(selected_service,ref_select_what!$B:$B,0)-1,0),$C$2:$C22,OFFSET(ref_select_what!$A$1,MATCH(selected_option1,ref_select_what!$C:$C,0)-1,0),$F$2:$F22,"&gt; "),"")</f>
        <v>5</v>
      </c>
      <c r="F22" s="9" t="s">
        <v>37</v>
      </c>
      <c r="G22" s="10" t="str">
        <f ca="1">IF(AND(LEN(F22)&gt;0,E22=OFFSET(ref_select_what!$A$1,MATCH(selected_option2,ref_select_what!$D:$D,0)-1,0),C22=OFFSET(ref_select_what!$A$1,MATCH(selected_option1,ref_select_what!$C:$C,0)-1,0),A22=OFFSET(ref_select_what!$A$1,MATCH(selected_service,ref_select_what!$B:$B,0)-1,0)),TRUE,"")</f>
        <v/>
      </c>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x14ac:dyDescent="0.25">
      <c r="A23" s="8">
        <f t="shared" si="2"/>
        <v>1</v>
      </c>
      <c r="B23" s="9"/>
      <c r="C23" s="8">
        <f ca="1">IFERROR(COUNTIFS($A$2:$A23,OFFSET(ref_select_what!$A$1,MATCH(selected_service,ref_select_what!$B:$B,0)-1,0),$D$2:$D23,"&gt; "),"")</f>
        <v>5</v>
      </c>
      <c r="D23" s="9"/>
      <c r="E23" s="8">
        <f ca="1">IFERROR(COUNTIFS($A$2:$A23,OFFSET(ref_select_what!$A$1,MATCH(selected_service,ref_select_what!$B:$B,0)-1,0),$C$2:$C23,OFFSET(ref_select_what!$A$1,MATCH(selected_option1,ref_select_what!$C:$C,0)-1,0),$F$2:$F23,"&gt; "),"")</f>
        <v>5</v>
      </c>
      <c r="F23" s="9"/>
      <c r="G23" s="10" t="str">
        <f ca="1">IF(AND(LEN(F23)&gt;0,E23=OFFSET(ref_select_what!$A$1,MATCH(selected_option2,ref_select_what!$D:$D,0)-1,0),C23=OFFSET(ref_select_what!$A$1,MATCH(selected_option1,ref_select_what!$C:$C,0)-1,0),A23=OFFSET(ref_select_what!$A$1,MATCH(selected_service,ref_select_what!$B:$B,0)-1,0)),TRUE,"")</f>
        <v/>
      </c>
      <c r="H23" s="11"/>
      <c r="I23" s="11"/>
      <c r="J23" s="11"/>
      <c r="K23" s="11"/>
      <c r="L23" s="11"/>
      <c r="M23" s="11"/>
      <c r="N23" s="11"/>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x14ac:dyDescent="0.25">
      <c r="A24" s="8">
        <f t="shared" ref="A24:A25" si="3">IF(LEN(B24)&gt;0,A23+1,A23)</f>
        <v>1</v>
      </c>
      <c r="B24" s="9"/>
      <c r="C24" s="8">
        <f ca="1">IFERROR(COUNTIFS($A$2:$A24,OFFSET(ref_select_what!$A$1,MATCH(selected_service,ref_select_what!$B:$B,0)-1,0),$D$2:$D24,"&gt; "),"")</f>
        <v>5</v>
      </c>
      <c r="D24" s="9"/>
      <c r="E24" s="8">
        <f ca="1">IFERROR(COUNTIFS($A$2:$A24,OFFSET(ref_select_what!$A$1,MATCH(selected_service,ref_select_what!$B:$B,0)-1,0),$C$2:$C24,OFFSET(ref_select_what!$A$1,MATCH(selected_option1,ref_select_what!$C:$C,0)-1,0),$F$2:$F24,"&gt; "),"")</f>
        <v>5</v>
      </c>
      <c r="F24" s="9"/>
      <c r="G24" s="10" t="str">
        <f ca="1">IF(AND(LEN(F24)&gt;0,E24=OFFSET(ref_select_what!$A$1,MATCH(selected_option2,ref_select_what!$D:$D,0)-1,0),C24=OFFSET(ref_select_what!$A$1,MATCH(selected_option1,ref_select_what!$C:$C,0)-1,0),A24=OFFSET(ref_select_what!$A$1,MATCH(selected_service,ref_select_what!$B:$B,0)-1,0)),TRUE,"")</f>
        <v/>
      </c>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x14ac:dyDescent="0.25">
      <c r="A25" s="8">
        <f t="shared" si="3"/>
        <v>1</v>
      </c>
      <c r="B25" s="9"/>
      <c r="C25" s="8">
        <f ca="1">IFERROR(COUNTIFS($A$2:$A25,OFFSET(ref_select_what!$A$1,MATCH(selected_service,ref_select_what!$B:$B,0)-1,0),$D$2:$D25,"&gt; "),"")</f>
        <v>5</v>
      </c>
      <c r="D25" s="9"/>
      <c r="E25" s="8">
        <f ca="1">IFERROR(COUNTIFS($A$2:$A25,OFFSET(ref_select_what!$A$1,MATCH(selected_service,ref_select_what!$B:$B,0)-1,0),$C$2:$C25,OFFSET(ref_select_what!$A$1,MATCH(selected_option1,ref_select_what!$C:$C,0)-1,0),$F$2:$F25,"&gt; "),"")</f>
        <v>5</v>
      </c>
      <c r="F25" s="9"/>
      <c r="G25" s="10" t="str">
        <f ca="1">IF(AND(LEN(F25)&gt;0,E25=OFFSET(ref_select_what!$A$1,MATCH(selected_option2,ref_select_what!$D:$D,0)-1,0),C25=OFFSET(ref_select_what!$A$1,MATCH(selected_option1,ref_select_what!$C:$C,0)-1,0),A25=OFFSET(ref_select_what!$A$1,MATCH(selected_service,ref_select_what!$B:$B,0)-1,0)),TRUE,"")</f>
        <v/>
      </c>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5" tint="0.59999389629810485"/>
  </sheetPr>
  <dimension ref="A1:D27"/>
  <sheetViews>
    <sheetView workbookViewId="0">
      <selection activeCell="B2" sqref="B2"/>
    </sheetView>
  </sheetViews>
  <sheetFormatPr defaultRowHeight="15" x14ac:dyDescent="0.25"/>
  <cols>
    <col min="1" max="1" width="4.5703125" style="12" customWidth="1"/>
    <col min="2" max="2" width="36.42578125" customWidth="1"/>
    <col min="3" max="3" width="43" customWidth="1"/>
    <col min="4" max="4" width="45" customWidth="1"/>
  </cols>
  <sheetData>
    <row r="1" spans="1:4" s="12" customFormat="1" x14ac:dyDescent="0.25">
      <c r="B1" s="12" t="s">
        <v>24</v>
      </c>
      <c r="C1" s="12" t="s">
        <v>25</v>
      </c>
      <c r="D1" s="12" t="s">
        <v>26</v>
      </c>
    </row>
    <row r="2" spans="1:4" x14ac:dyDescent="0.25">
      <c r="A2" s="12">
        <v>0</v>
      </c>
      <c r="B2" t="str">
        <f>IFERROR(VLOOKUP(A2,ref_tree_who!A:B,2,FALSE),"")</f>
        <v>select an option…</v>
      </c>
      <c r="C2" t="str">
        <f ca="1">IFERROR(VLOOKUP(A2,ref_tree_who!C:D,2,FALSE),"")</f>
        <v>select an option…</v>
      </c>
      <c r="D2" t="str">
        <f ca="1">IFERROR(VLOOKUP(A2,ref_tree_who!E:F,2,FALSE),"")</f>
        <v>select an option…</v>
      </c>
    </row>
    <row r="3" spans="1:4" x14ac:dyDescent="0.25">
      <c r="A3" s="12">
        <f t="shared" ref="A3:A16" si="0">+A2+1</f>
        <v>1</v>
      </c>
      <c r="B3" t="str">
        <f>IFERROR(VLOOKUP(A3,ref_tree_who!A:B,2,FALSE),"")</f>
        <v>"C" suite strategic planners</v>
      </c>
      <c r="C3" t="str">
        <f ca="1">IFERROR(VLOOKUP(A3,ref_tree_who!C:D,2,FALSE),"")</f>
        <v>Add capability / flexibility to support business needs</v>
      </c>
      <c r="D3" t="str">
        <f ca="1">IFERROR(VLOOKUP(A3,ref_tree_who!E:F,2,FALSE),"")</f>
        <v>Operations Plan</v>
      </c>
    </row>
    <row r="4" spans="1:4" x14ac:dyDescent="0.25">
      <c r="A4" s="12">
        <f t="shared" si="0"/>
        <v>2</v>
      </c>
      <c r="B4" t="str">
        <f>IFERROR(VLOOKUP(A4,ref_tree_who!A:B,2,FALSE),"")</f>
        <v>Business (non-IT) Managers</v>
      </c>
      <c r="C4" t="str">
        <f ca="1">IFERROR(VLOOKUP(A4,ref_tree_who!C:D,2,FALSE),"")</f>
        <v>Must reduce costs</v>
      </c>
      <c r="D4" t="str">
        <f ca="1">IFERROR(VLOOKUP(A4,ref_tree_who!E:F,2,FALSE),"")</f>
        <v/>
      </c>
    </row>
    <row r="5" spans="1:4" x14ac:dyDescent="0.25">
      <c r="A5" s="12">
        <f t="shared" si="0"/>
        <v>3</v>
      </c>
      <c r="B5" t="str">
        <f>IFERROR(VLOOKUP(A5,ref_tree_who!A:B,2,FALSE),"")</f>
        <v>Operations (IT) Managers</v>
      </c>
      <c r="C5" t="str">
        <f ca="1">IFERROR(VLOOKUP(A5,ref_tree_who!C:D,2,FALSE),"")</f>
        <v>Resolve a specific IT problem</v>
      </c>
      <c r="D5" t="str">
        <f ca="1">IFERROR(VLOOKUP(A5,ref_tree_who!E:F,2,FALSE),"")</f>
        <v/>
      </c>
    </row>
    <row r="6" spans="1:4" x14ac:dyDescent="0.25">
      <c r="A6" s="12">
        <f t="shared" si="0"/>
        <v>4</v>
      </c>
      <c r="B6" t="str">
        <f>IFERROR(VLOOKUP(A6,ref_tree_who!A:B,2,FALSE),"")</f>
        <v/>
      </c>
      <c r="C6" t="str">
        <f ca="1">IFERROR(VLOOKUP(A6,ref_tree_who!C:D,2,FALSE),"")</f>
        <v/>
      </c>
      <c r="D6" t="str">
        <f ca="1">IFERROR(VLOOKUP(A6,ref_tree_who!E:F,2,FALSE),"")</f>
        <v/>
      </c>
    </row>
    <row r="7" spans="1:4" x14ac:dyDescent="0.25">
      <c r="A7" s="12">
        <f t="shared" si="0"/>
        <v>5</v>
      </c>
      <c r="B7" t="str">
        <f>IFERROR(VLOOKUP(A7,ref_tree_who!A:B,2,FALSE),"")</f>
        <v/>
      </c>
      <c r="C7" t="str">
        <f ca="1">IFERROR(VLOOKUP(A7,ref_tree_who!C:D,2,FALSE),"")</f>
        <v/>
      </c>
      <c r="D7" t="str">
        <f ca="1">IFERROR(VLOOKUP(A7,ref_tree_who!E:F,2,FALSE),"")</f>
        <v/>
      </c>
    </row>
    <row r="8" spans="1:4" x14ac:dyDescent="0.25">
      <c r="A8" s="12">
        <f t="shared" si="0"/>
        <v>6</v>
      </c>
      <c r="B8" t="str">
        <f>IFERROR(VLOOKUP(A8,ref_tree_who!A:B,2,FALSE),"")</f>
        <v/>
      </c>
      <c r="C8" t="str">
        <f ca="1">IFERROR(VLOOKUP(A8,ref_tree_who!C:D,2,FALSE),"")</f>
        <v/>
      </c>
      <c r="D8" t="str">
        <f ca="1">IFERROR(VLOOKUP(A8,ref_tree_who!E:F,2,FALSE),"")</f>
        <v/>
      </c>
    </row>
    <row r="9" spans="1:4" x14ac:dyDescent="0.25">
      <c r="A9" s="12">
        <f t="shared" si="0"/>
        <v>7</v>
      </c>
      <c r="B9" t="str">
        <f>IFERROR(VLOOKUP(A9,ref_tree_who!A:B,2,FALSE),"")</f>
        <v/>
      </c>
      <c r="C9" t="str">
        <f ca="1">IFERROR(VLOOKUP(A9,ref_tree_who!C:D,2,FALSE),"")</f>
        <v/>
      </c>
      <c r="D9" t="str">
        <f ca="1">IFERROR(VLOOKUP(A9,ref_tree_who!E:F,2,FALSE),"")</f>
        <v/>
      </c>
    </row>
    <row r="10" spans="1:4" x14ac:dyDescent="0.25">
      <c r="A10" s="12">
        <f t="shared" si="0"/>
        <v>8</v>
      </c>
      <c r="B10" t="str">
        <f>IFERROR(VLOOKUP(A10,ref_tree_who!A:B,2,FALSE),"")</f>
        <v/>
      </c>
      <c r="C10" t="str">
        <f ca="1">IFERROR(VLOOKUP(A10,ref_tree_who!C:D,2,FALSE),"")</f>
        <v/>
      </c>
      <c r="D10" t="str">
        <f ca="1">IFERROR(VLOOKUP(A10,ref_tree_who!E:F,2,FALSE),"")</f>
        <v/>
      </c>
    </row>
    <row r="11" spans="1:4" x14ac:dyDescent="0.25">
      <c r="A11" s="12">
        <f t="shared" si="0"/>
        <v>9</v>
      </c>
      <c r="B11" t="str">
        <f>IFERROR(VLOOKUP(A11,ref_tree_who!A:B,2,FALSE),"")</f>
        <v/>
      </c>
      <c r="C11" t="str">
        <f ca="1">IFERROR(VLOOKUP(A11,ref_tree_who!C:D,2,FALSE),"")</f>
        <v/>
      </c>
      <c r="D11" t="str">
        <f ca="1">IFERROR(VLOOKUP(A11,ref_tree_who!E:F,2,FALSE),"")</f>
        <v/>
      </c>
    </row>
    <row r="12" spans="1:4" x14ac:dyDescent="0.25">
      <c r="A12" s="12">
        <f t="shared" si="0"/>
        <v>10</v>
      </c>
      <c r="B12" t="str">
        <f>IFERROR(VLOOKUP(A12,ref_tree_who!A:B,2,FALSE),"")</f>
        <v/>
      </c>
      <c r="C12" t="str">
        <f ca="1">IFERROR(VLOOKUP(A12,ref_tree_who!C:D,2,FALSE),"")</f>
        <v/>
      </c>
      <c r="D12" t="str">
        <f ca="1">IFERROR(VLOOKUP(A12,ref_tree_who!E:F,2,FALSE),"")</f>
        <v/>
      </c>
    </row>
    <row r="13" spans="1:4" x14ac:dyDescent="0.25">
      <c r="A13" s="12">
        <f t="shared" si="0"/>
        <v>11</v>
      </c>
      <c r="B13" t="str">
        <f>IFERROR(VLOOKUP(A13,ref_tree_who!A:B,2,FALSE),"")</f>
        <v/>
      </c>
      <c r="C13" t="str">
        <f ca="1">IFERROR(VLOOKUP(A13,ref_tree_who!C:D,2,FALSE),"")</f>
        <v/>
      </c>
      <c r="D13" t="str">
        <f ca="1">IFERROR(VLOOKUP(A13,ref_tree_who!E:F,2,FALSE),"")</f>
        <v/>
      </c>
    </row>
    <row r="14" spans="1:4" x14ac:dyDescent="0.25">
      <c r="A14" s="12">
        <f t="shared" si="0"/>
        <v>12</v>
      </c>
      <c r="B14" t="str">
        <f>IFERROR(VLOOKUP(A14,ref_tree_who!A:B,2,FALSE),"")</f>
        <v/>
      </c>
      <c r="C14" t="str">
        <f ca="1">IFERROR(VLOOKUP(A14,ref_tree_who!C:D,2,FALSE),"")</f>
        <v/>
      </c>
      <c r="D14" t="str">
        <f ca="1">IFERROR(VLOOKUP(A14,ref_tree_who!E:F,2,FALSE),"")</f>
        <v/>
      </c>
    </row>
    <row r="15" spans="1:4" x14ac:dyDescent="0.25">
      <c r="A15" s="12">
        <f t="shared" si="0"/>
        <v>13</v>
      </c>
      <c r="B15" t="str">
        <f>IFERROR(VLOOKUP(A15,ref_tree_who!A:B,2,FALSE),"")</f>
        <v/>
      </c>
      <c r="C15" t="str">
        <f ca="1">IFERROR(VLOOKUP(A15,ref_tree_who!C:D,2,FALSE),"")</f>
        <v/>
      </c>
      <c r="D15" t="str">
        <f ca="1">IFERROR(VLOOKUP(A15,ref_tree_who!E:F,2,FALSE),"")</f>
        <v/>
      </c>
    </row>
    <row r="16" spans="1:4" x14ac:dyDescent="0.25">
      <c r="A16" s="12">
        <f t="shared" si="0"/>
        <v>14</v>
      </c>
      <c r="B16" t="str">
        <f>IFERROR(VLOOKUP(A16,ref_tree_who!A:B,2,FALSE),"")</f>
        <v/>
      </c>
      <c r="C16" t="str">
        <f ca="1">IFERROR(VLOOKUP(A16,ref_tree_who!C:D,2,FALSE),"")</f>
        <v/>
      </c>
      <c r="D16" t="str">
        <f ca="1">IFERROR(VLOOKUP(A16,ref_tree_who!E:F,2,FALSE),"")</f>
        <v/>
      </c>
    </row>
    <row r="17" spans="1:4" x14ac:dyDescent="0.25">
      <c r="A17" s="12">
        <f>+A16+1</f>
        <v>15</v>
      </c>
      <c r="B17" t="str">
        <f>IFERROR(VLOOKUP(A17,ref_tree_who!A:B,2,FALSE),"")</f>
        <v/>
      </c>
      <c r="C17" t="str">
        <f ca="1">IFERROR(VLOOKUP(A17,ref_tree_who!C:D,2,FALSE),"")</f>
        <v/>
      </c>
      <c r="D17" t="str">
        <f ca="1">IFERROR(VLOOKUP(A17,ref_tree_who!E:F,2,FALSE),"")</f>
        <v/>
      </c>
    </row>
    <row r="18" spans="1:4" x14ac:dyDescent="0.25">
      <c r="A18" s="12">
        <f t="shared" ref="A18:A26" si="1">+A17+1</f>
        <v>16</v>
      </c>
      <c r="B18" t="str">
        <f>IFERROR(VLOOKUP(A18,ref_tree_who!A:B,2,FALSE),"")</f>
        <v/>
      </c>
      <c r="C18" t="str">
        <f ca="1">IFERROR(VLOOKUP(A18,ref_tree_who!C:D,2,FALSE),"")</f>
        <v/>
      </c>
      <c r="D18" t="str">
        <f ca="1">IFERROR(VLOOKUP(A18,ref_tree_who!E:F,2,FALSE),"")</f>
        <v/>
      </c>
    </row>
    <row r="19" spans="1:4" x14ac:dyDescent="0.25">
      <c r="A19" s="12">
        <f t="shared" si="1"/>
        <v>17</v>
      </c>
      <c r="B19" t="str">
        <f>IFERROR(VLOOKUP(A19,ref_tree_who!A:B,2,FALSE),"")</f>
        <v/>
      </c>
      <c r="C19" t="str">
        <f ca="1">IFERROR(VLOOKUP(A19,ref_tree_who!C:D,2,FALSE),"")</f>
        <v/>
      </c>
      <c r="D19" t="str">
        <f ca="1">IFERROR(VLOOKUP(A19,ref_tree_who!E:F,2,FALSE),"")</f>
        <v/>
      </c>
    </row>
    <row r="20" spans="1:4" x14ac:dyDescent="0.25">
      <c r="A20" s="12">
        <f t="shared" si="1"/>
        <v>18</v>
      </c>
      <c r="B20" t="str">
        <f>IFERROR(VLOOKUP(A20,ref_tree_who!A:B,2,FALSE),"")</f>
        <v/>
      </c>
      <c r="C20" t="str">
        <f ca="1">IFERROR(VLOOKUP(A20,ref_tree_who!C:D,2,FALSE),"")</f>
        <v/>
      </c>
      <c r="D20" t="str">
        <f ca="1">IFERROR(VLOOKUP(A20,ref_tree_who!E:F,2,FALSE),"")</f>
        <v/>
      </c>
    </row>
    <row r="21" spans="1:4" x14ac:dyDescent="0.25">
      <c r="A21" s="12">
        <f t="shared" si="1"/>
        <v>19</v>
      </c>
      <c r="B21" t="str">
        <f>IFERROR(VLOOKUP(A21,ref_tree_who!A:B,2,FALSE),"")</f>
        <v/>
      </c>
      <c r="C21" t="str">
        <f ca="1">IFERROR(VLOOKUP(A21,ref_tree_who!C:D,2,FALSE),"")</f>
        <v/>
      </c>
      <c r="D21" t="str">
        <f ca="1">IFERROR(VLOOKUP(A21,ref_tree_who!E:F,2,FALSE),"")</f>
        <v/>
      </c>
    </row>
    <row r="22" spans="1:4" x14ac:dyDescent="0.25">
      <c r="A22" s="12">
        <f t="shared" si="1"/>
        <v>20</v>
      </c>
      <c r="B22" t="str">
        <f>IFERROR(VLOOKUP(A22,ref_tree_who!A:B,2,FALSE),"")</f>
        <v/>
      </c>
      <c r="C22" t="str">
        <f ca="1">IFERROR(VLOOKUP(A22,ref_tree_who!C:D,2,FALSE),"")</f>
        <v/>
      </c>
      <c r="D22" t="str">
        <f ca="1">IFERROR(VLOOKUP(A22,ref_tree_who!E:F,2,FALSE),"")</f>
        <v/>
      </c>
    </row>
    <row r="23" spans="1:4" x14ac:dyDescent="0.25">
      <c r="A23" s="12">
        <f t="shared" si="1"/>
        <v>21</v>
      </c>
      <c r="B23" t="str">
        <f>IFERROR(VLOOKUP(A23,ref_tree_who!A:B,2,FALSE),"")</f>
        <v/>
      </c>
      <c r="C23" t="str">
        <f ca="1">IFERROR(VLOOKUP(A23,ref_tree_who!C:D,2,FALSE),"")</f>
        <v/>
      </c>
      <c r="D23" t="str">
        <f ca="1">IFERROR(VLOOKUP(A23,ref_tree_who!E:F,2,FALSE),"")</f>
        <v/>
      </c>
    </row>
    <row r="24" spans="1:4" x14ac:dyDescent="0.25">
      <c r="A24" s="12">
        <f t="shared" si="1"/>
        <v>22</v>
      </c>
      <c r="B24" t="str">
        <f>IFERROR(VLOOKUP(A24,ref_tree_who!A:B,2,FALSE),"")</f>
        <v/>
      </c>
      <c r="C24" t="str">
        <f ca="1">IFERROR(VLOOKUP(A24,ref_tree_who!C:D,2,FALSE),"")</f>
        <v/>
      </c>
      <c r="D24" t="str">
        <f ca="1">IFERROR(VLOOKUP(A24,ref_tree_who!E:F,2,FALSE),"")</f>
        <v/>
      </c>
    </row>
    <row r="25" spans="1:4" x14ac:dyDescent="0.25">
      <c r="A25" s="12">
        <f t="shared" si="1"/>
        <v>23</v>
      </c>
      <c r="B25" t="str">
        <f>IFERROR(VLOOKUP(A25,ref_tree_who!A:B,2,FALSE),"")</f>
        <v/>
      </c>
      <c r="C25" t="str">
        <f ca="1">IFERROR(VLOOKUP(A25,ref_tree_who!C:D,2,FALSE),"")</f>
        <v/>
      </c>
      <c r="D25" t="str">
        <f ca="1">IFERROR(VLOOKUP(A25,ref_tree_who!E:F,2,FALSE),"")</f>
        <v/>
      </c>
    </row>
    <row r="26" spans="1:4" x14ac:dyDescent="0.25">
      <c r="A26" s="12">
        <f t="shared" si="1"/>
        <v>24</v>
      </c>
      <c r="B26" t="str">
        <f>IFERROR(VLOOKUP(A26,ref_tree_who!A:B,2,FALSE),"")</f>
        <v/>
      </c>
      <c r="C26" t="str">
        <f ca="1">IFERROR(VLOOKUP(A26,ref_tree_who!C:D,2,FALSE),"")</f>
        <v/>
      </c>
      <c r="D26" t="str">
        <f ca="1">IFERROR(VLOOKUP(A26,ref_tree_who!E:F,2,FALSE),"")</f>
        <v/>
      </c>
    </row>
    <row r="27" spans="1:4" x14ac:dyDescent="0.25">
      <c r="A27" s="12">
        <f>+A26+1</f>
        <v>25</v>
      </c>
      <c r="B27" t="str">
        <f>IFERROR(VLOOKUP(A27,ref_tree_who!A:B,2,FALSE),"")</f>
        <v/>
      </c>
      <c r="C27" t="str">
        <f ca="1">IFERROR(VLOOKUP(A27,ref_tree_who!C:D,2,FALSE),"")</f>
        <v/>
      </c>
      <c r="D27" t="str">
        <f ca="1">IFERROR(VLOOKUP(A27,ref_tree_who!E:F,2,FALSE),"")</f>
        <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5" tint="0.59999389629810485"/>
  </sheetPr>
  <dimension ref="A1:D27"/>
  <sheetViews>
    <sheetView workbookViewId="0">
      <selection activeCell="B3" sqref="B3"/>
    </sheetView>
  </sheetViews>
  <sheetFormatPr defaultRowHeight="15" x14ac:dyDescent="0.25"/>
  <cols>
    <col min="1" max="1" width="4.5703125" style="12" customWidth="1"/>
    <col min="2" max="2" width="36.42578125" customWidth="1"/>
    <col min="3" max="3" width="43" customWidth="1"/>
    <col min="4" max="4" width="45" customWidth="1"/>
  </cols>
  <sheetData>
    <row r="1" spans="1:4" s="12" customFormat="1" x14ac:dyDescent="0.25">
      <c r="B1" s="12" t="s">
        <v>21</v>
      </c>
      <c r="C1" s="12" t="s">
        <v>22</v>
      </c>
      <c r="D1" s="12" t="s">
        <v>23</v>
      </c>
    </row>
    <row r="2" spans="1:4" x14ac:dyDescent="0.25">
      <c r="A2" s="12">
        <v>0</v>
      </c>
      <c r="B2" t="str">
        <f>IFERROR(VLOOKUP(A2,ref_tree_what!A:B,2,FALSE),"")</f>
        <v>select an option…</v>
      </c>
      <c r="C2" t="str">
        <f ca="1">IFERROR(VLOOKUP(A2,ref_tree_what!C:D,2,FALSE),"")</f>
        <v>select an option…</v>
      </c>
      <c r="D2" t="str">
        <f ca="1">IFERROR(VLOOKUP(A2,ref_tree_what!E:F,2,FALSE),"")</f>
        <v>select an option…</v>
      </c>
    </row>
    <row r="3" spans="1:4" x14ac:dyDescent="0.25">
      <c r="A3" s="12">
        <f t="shared" ref="A3:A16" si="0">+A2+1</f>
        <v>1</v>
      </c>
      <c r="B3" t="str">
        <f>IFERROR(VLOOKUP(A3,ref_tree_what!A:B,2,FALSE),"")</f>
        <v>Application Rationalization</v>
      </c>
      <c r="C3" t="str">
        <f ca="1">IFERROR(VLOOKUP(A3,ref_tree_what!C:D,2,FALSE),"")</f>
        <v>Excluded from virtualization</v>
      </c>
      <c r="D3" t="str">
        <f ca="1">IFERROR(VLOOKUP(A3,ref_tree_what!E:F,2,FALSE),"")</f>
        <v>Public Cloud Applications</v>
      </c>
    </row>
    <row r="4" spans="1:4" x14ac:dyDescent="0.25">
      <c r="A4" s="12">
        <f t="shared" si="0"/>
        <v>2</v>
      </c>
      <c r="B4" t="str">
        <f>IFERROR(VLOOKUP(A4,ref_tree_what!A:B,2,FALSE),"")</f>
        <v/>
      </c>
      <c r="C4" t="str">
        <f ca="1">IFERROR(VLOOKUP(A4,ref_tree_what!C:D,2,FALSE),"")</f>
        <v>common business functions</v>
      </c>
      <c r="D4" t="str">
        <f ca="1">IFERROR(VLOOKUP(A4,ref_tree_what!E:F,2,FALSE),"")</f>
        <v>Private Cloud Applications</v>
      </c>
    </row>
    <row r="5" spans="1:4" x14ac:dyDescent="0.25">
      <c r="A5" s="12">
        <f t="shared" si="0"/>
        <v>3</v>
      </c>
      <c r="B5" t="str">
        <f>IFERROR(VLOOKUP(A5,ref_tree_what!A:B,2,FALSE),"")</f>
        <v/>
      </c>
      <c r="C5" t="str">
        <f ca="1">IFERROR(VLOOKUP(A5,ref_tree_what!C:D,2,FALSE),"")</f>
        <v>Uncommon business function</v>
      </c>
      <c r="D5" t="str">
        <f ca="1">IFERROR(VLOOKUP(A5,ref_tree_what!E:F,2,FALSE),"")</f>
        <v>Streamed Application</v>
      </c>
    </row>
    <row r="6" spans="1:4" x14ac:dyDescent="0.25">
      <c r="A6" s="12">
        <f t="shared" si="0"/>
        <v>4</v>
      </c>
      <c r="B6" t="str">
        <f>IFERROR(VLOOKUP(A6,ref_tree_what!A:B,2,FALSE),"")</f>
        <v/>
      </c>
      <c r="C6" t="str">
        <f ca="1">IFERROR(VLOOKUP(A6,ref_tree_what!C:D,2,FALSE),"")</f>
        <v>Graphically Intense buisness function</v>
      </c>
      <c r="D6" t="str">
        <f ca="1">IFERROR(VLOOKUP(A6,ref_tree_what!E:F,2,FALSE),"")</f>
        <v>Multi-Platform</v>
      </c>
    </row>
    <row r="7" spans="1:4" x14ac:dyDescent="0.25">
      <c r="A7" s="12">
        <f t="shared" si="0"/>
        <v>5</v>
      </c>
      <c r="B7" t="str">
        <f>IFERROR(VLOOKUP(A7,ref_tree_what!A:B,2,FALSE),"")</f>
        <v/>
      </c>
      <c r="C7" t="str">
        <f ca="1">IFERROR(VLOOKUP(A7,ref_tree_what!C:D,2,FALSE),"")</f>
        <v>Application Support Software</v>
      </c>
      <c r="D7" t="str">
        <f ca="1">IFERROR(VLOOKUP(A7,ref_tree_what!E:F,2,FALSE),"")</f>
        <v>VDI hosted</v>
      </c>
    </row>
    <row r="8" spans="1:4" x14ac:dyDescent="0.25">
      <c r="A8" s="12">
        <f t="shared" si="0"/>
        <v>6</v>
      </c>
      <c r="B8" t="str">
        <f>IFERROR(VLOOKUP(A8,ref_tree_what!A:B,2,FALSE),"")</f>
        <v/>
      </c>
      <c r="C8" t="str">
        <f ca="1">IFERROR(VLOOKUP(A8,ref_tree_what!C:D,2,FALSE),"")</f>
        <v/>
      </c>
      <c r="D8" t="str">
        <f ca="1">IFERROR(VLOOKUP(A8,ref_tree_what!E:F,2,FALSE),"")</f>
        <v/>
      </c>
    </row>
    <row r="9" spans="1:4" x14ac:dyDescent="0.25">
      <c r="A9" s="12">
        <f t="shared" si="0"/>
        <v>7</v>
      </c>
      <c r="B9" t="str">
        <f>IFERROR(VLOOKUP(A9,ref_tree_what!A:B,2,FALSE),"")</f>
        <v/>
      </c>
      <c r="C9" t="str">
        <f ca="1">IFERROR(VLOOKUP(A9,ref_tree_what!C:D,2,FALSE),"")</f>
        <v/>
      </c>
      <c r="D9" t="str">
        <f ca="1">IFERROR(VLOOKUP(A9,ref_tree_what!E:F,2,FALSE),"")</f>
        <v/>
      </c>
    </row>
    <row r="10" spans="1:4" x14ac:dyDescent="0.25">
      <c r="A10" s="12">
        <f t="shared" si="0"/>
        <v>8</v>
      </c>
      <c r="B10" t="str">
        <f>IFERROR(VLOOKUP(A10,ref_tree_what!A:B,2,FALSE),"")</f>
        <v/>
      </c>
      <c r="C10" t="str">
        <f ca="1">IFERROR(VLOOKUP(A10,ref_tree_what!C:D,2,FALSE),"")</f>
        <v/>
      </c>
      <c r="D10" t="str">
        <f ca="1">IFERROR(VLOOKUP(A10,ref_tree_what!E:F,2,FALSE),"")</f>
        <v/>
      </c>
    </row>
    <row r="11" spans="1:4" x14ac:dyDescent="0.25">
      <c r="A11" s="12">
        <f t="shared" si="0"/>
        <v>9</v>
      </c>
      <c r="B11" t="str">
        <f>IFERROR(VLOOKUP(A11,ref_tree_what!A:B,2,FALSE),"")</f>
        <v/>
      </c>
      <c r="C11" t="str">
        <f ca="1">IFERROR(VLOOKUP(A11,ref_tree_what!C:D,2,FALSE),"")</f>
        <v/>
      </c>
      <c r="D11" t="str">
        <f ca="1">IFERROR(VLOOKUP(A11,ref_tree_what!E:F,2,FALSE),"")</f>
        <v/>
      </c>
    </row>
    <row r="12" spans="1:4" x14ac:dyDescent="0.25">
      <c r="A12" s="12">
        <f t="shared" si="0"/>
        <v>10</v>
      </c>
      <c r="B12" t="str">
        <f>IFERROR(VLOOKUP(A12,ref_tree_what!A:B,2,FALSE),"")</f>
        <v/>
      </c>
      <c r="C12" t="str">
        <f ca="1">IFERROR(VLOOKUP(A12,ref_tree_what!C:D,2,FALSE),"")</f>
        <v/>
      </c>
      <c r="D12" t="str">
        <f ca="1">IFERROR(VLOOKUP(A12,ref_tree_what!E:F,2,FALSE),"")</f>
        <v/>
      </c>
    </row>
    <row r="13" spans="1:4" x14ac:dyDescent="0.25">
      <c r="A13" s="12">
        <f t="shared" si="0"/>
        <v>11</v>
      </c>
      <c r="B13" t="str">
        <f>IFERROR(VLOOKUP(A13,ref_tree_what!A:B,2,FALSE),"")</f>
        <v/>
      </c>
      <c r="C13" t="str">
        <f ca="1">IFERROR(VLOOKUP(A13,ref_tree_what!C:D,2,FALSE),"")</f>
        <v/>
      </c>
      <c r="D13" t="str">
        <f ca="1">IFERROR(VLOOKUP(A13,ref_tree_what!E:F,2,FALSE),"")</f>
        <v/>
      </c>
    </row>
    <row r="14" spans="1:4" x14ac:dyDescent="0.25">
      <c r="A14" s="12">
        <f t="shared" si="0"/>
        <v>12</v>
      </c>
      <c r="B14" t="str">
        <f>IFERROR(VLOOKUP(A14,ref_tree_what!A:B,2,FALSE),"")</f>
        <v/>
      </c>
      <c r="C14" t="str">
        <f ca="1">IFERROR(VLOOKUP(A14,ref_tree_what!C:D,2,FALSE),"")</f>
        <v/>
      </c>
      <c r="D14" t="str">
        <f ca="1">IFERROR(VLOOKUP(A14,ref_tree_what!E:F,2,FALSE),"")</f>
        <v/>
      </c>
    </row>
    <row r="15" spans="1:4" x14ac:dyDescent="0.25">
      <c r="A15" s="12">
        <f t="shared" si="0"/>
        <v>13</v>
      </c>
      <c r="B15" t="str">
        <f>IFERROR(VLOOKUP(A15,ref_tree_what!A:B,2,FALSE),"")</f>
        <v/>
      </c>
      <c r="C15" t="str">
        <f ca="1">IFERROR(VLOOKUP(A15,ref_tree_what!C:D,2,FALSE),"")</f>
        <v/>
      </c>
      <c r="D15" t="str">
        <f ca="1">IFERROR(VLOOKUP(A15,ref_tree_what!E:F,2,FALSE),"")</f>
        <v/>
      </c>
    </row>
    <row r="16" spans="1:4" x14ac:dyDescent="0.25">
      <c r="A16" s="12">
        <f t="shared" si="0"/>
        <v>14</v>
      </c>
      <c r="B16" t="str">
        <f>IFERROR(VLOOKUP(A16,ref_tree_what!A:B,2,FALSE),"")</f>
        <v/>
      </c>
      <c r="C16" t="str">
        <f ca="1">IFERROR(VLOOKUP(A16,ref_tree_what!C:D,2,FALSE),"")</f>
        <v/>
      </c>
      <c r="D16" t="str">
        <f ca="1">IFERROR(VLOOKUP(A16,ref_tree_what!E:F,2,FALSE),"")</f>
        <v/>
      </c>
    </row>
    <row r="17" spans="1:4" x14ac:dyDescent="0.25">
      <c r="A17" s="12">
        <f>+A16+1</f>
        <v>15</v>
      </c>
      <c r="B17" t="str">
        <f>IFERROR(VLOOKUP(A17,ref_tree_what!A:B,2,FALSE),"")</f>
        <v/>
      </c>
      <c r="C17" t="str">
        <f ca="1">IFERROR(VLOOKUP(A17,ref_tree_what!C:D,2,FALSE),"")</f>
        <v/>
      </c>
      <c r="D17" t="str">
        <f ca="1">IFERROR(VLOOKUP(A17,ref_tree_what!E:F,2,FALSE),"")</f>
        <v/>
      </c>
    </row>
    <row r="18" spans="1:4" x14ac:dyDescent="0.25">
      <c r="A18" s="12">
        <f t="shared" ref="A18:A26" si="1">+A17+1</f>
        <v>16</v>
      </c>
      <c r="B18" t="str">
        <f>IFERROR(VLOOKUP(A18,ref_tree_what!A:B,2,FALSE),"")</f>
        <v/>
      </c>
      <c r="C18" t="str">
        <f ca="1">IFERROR(VLOOKUP(A18,ref_tree_what!C:D,2,FALSE),"")</f>
        <v/>
      </c>
      <c r="D18" t="str">
        <f ca="1">IFERROR(VLOOKUP(A18,ref_tree_what!E:F,2,FALSE),"")</f>
        <v/>
      </c>
    </row>
    <row r="19" spans="1:4" x14ac:dyDescent="0.25">
      <c r="A19" s="12">
        <f t="shared" si="1"/>
        <v>17</v>
      </c>
      <c r="B19" t="str">
        <f>IFERROR(VLOOKUP(A19,ref_tree_what!A:B,2,FALSE),"")</f>
        <v/>
      </c>
      <c r="C19" t="str">
        <f ca="1">IFERROR(VLOOKUP(A19,ref_tree_what!C:D,2,FALSE),"")</f>
        <v/>
      </c>
      <c r="D19" t="str">
        <f ca="1">IFERROR(VLOOKUP(A19,ref_tree_what!E:F,2,FALSE),"")</f>
        <v/>
      </c>
    </row>
    <row r="20" spans="1:4" x14ac:dyDescent="0.25">
      <c r="A20" s="12">
        <f t="shared" si="1"/>
        <v>18</v>
      </c>
      <c r="B20" t="str">
        <f>IFERROR(VLOOKUP(A20,ref_tree_what!A:B,2,FALSE),"")</f>
        <v/>
      </c>
      <c r="C20" t="str">
        <f ca="1">IFERROR(VLOOKUP(A20,ref_tree_what!C:D,2,FALSE),"")</f>
        <v/>
      </c>
      <c r="D20" t="str">
        <f ca="1">IFERROR(VLOOKUP(A20,ref_tree_what!E:F,2,FALSE),"")</f>
        <v/>
      </c>
    </row>
    <row r="21" spans="1:4" x14ac:dyDescent="0.25">
      <c r="A21" s="12">
        <f t="shared" si="1"/>
        <v>19</v>
      </c>
      <c r="B21" t="str">
        <f>IFERROR(VLOOKUP(A21,ref_tree_what!A:B,2,FALSE),"")</f>
        <v/>
      </c>
      <c r="C21" t="str">
        <f ca="1">IFERROR(VLOOKUP(A21,ref_tree_what!C:D,2,FALSE),"")</f>
        <v/>
      </c>
      <c r="D21" t="str">
        <f ca="1">IFERROR(VLOOKUP(A21,ref_tree_what!E:F,2,FALSE),"")</f>
        <v/>
      </c>
    </row>
    <row r="22" spans="1:4" x14ac:dyDescent="0.25">
      <c r="A22" s="12">
        <f t="shared" si="1"/>
        <v>20</v>
      </c>
      <c r="B22" t="str">
        <f>IFERROR(VLOOKUP(A22,ref_tree_what!A:B,2,FALSE),"")</f>
        <v/>
      </c>
      <c r="C22" t="str">
        <f ca="1">IFERROR(VLOOKUP(A22,ref_tree_what!C:D,2,FALSE),"")</f>
        <v/>
      </c>
      <c r="D22" t="str">
        <f ca="1">IFERROR(VLOOKUP(A22,ref_tree_what!E:F,2,FALSE),"")</f>
        <v/>
      </c>
    </row>
    <row r="23" spans="1:4" x14ac:dyDescent="0.25">
      <c r="A23" s="12">
        <f t="shared" si="1"/>
        <v>21</v>
      </c>
      <c r="B23" t="str">
        <f>IFERROR(VLOOKUP(A23,ref_tree_what!A:B,2,FALSE),"")</f>
        <v/>
      </c>
      <c r="C23" t="str">
        <f ca="1">IFERROR(VLOOKUP(A23,ref_tree_what!C:D,2,FALSE),"")</f>
        <v/>
      </c>
      <c r="D23" t="str">
        <f ca="1">IFERROR(VLOOKUP(A23,ref_tree_what!E:F,2,FALSE),"")</f>
        <v/>
      </c>
    </row>
    <row r="24" spans="1:4" x14ac:dyDescent="0.25">
      <c r="A24" s="12">
        <f t="shared" si="1"/>
        <v>22</v>
      </c>
      <c r="B24" t="str">
        <f>IFERROR(VLOOKUP(A24,ref_tree_what!A:B,2,FALSE),"")</f>
        <v/>
      </c>
      <c r="C24" t="str">
        <f ca="1">IFERROR(VLOOKUP(A24,ref_tree_what!C:D,2,FALSE),"")</f>
        <v/>
      </c>
      <c r="D24" t="str">
        <f ca="1">IFERROR(VLOOKUP(A24,ref_tree_what!E:F,2,FALSE),"")</f>
        <v/>
      </c>
    </row>
    <row r="25" spans="1:4" x14ac:dyDescent="0.25">
      <c r="A25" s="12">
        <f t="shared" si="1"/>
        <v>23</v>
      </c>
      <c r="B25" t="str">
        <f>IFERROR(VLOOKUP(A25,ref_tree_what!A:B,2,FALSE),"")</f>
        <v/>
      </c>
      <c r="C25" t="str">
        <f ca="1">IFERROR(VLOOKUP(A25,ref_tree_what!C:D,2,FALSE),"")</f>
        <v/>
      </c>
      <c r="D25" t="str">
        <f ca="1">IFERROR(VLOOKUP(A25,ref_tree_what!E:F,2,FALSE),"")</f>
        <v/>
      </c>
    </row>
    <row r="26" spans="1:4" x14ac:dyDescent="0.25">
      <c r="A26" s="12">
        <f t="shared" si="1"/>
        <v>24</v>
      </c>
      <c r="B26" t="str">
        <f>IFERROR(VLOOKUP(A26,ref_tree_what!A:B,2,FALSE),"")</f>
        <v/>
      </c>
      <c r="C26" t="str">
        <f ca="1">IFERROR(VLOOKUP(A26,ref_tree_what!C:D,2,FALSE),"")</f>
        <v/>
      </c>
      <c r="D26" t="str">
        <f ca="1">IFERROR(VLOOKUP(A26,ref_tree_what!E:F,2,FALSE),"")</f>
        <v/>
      </c>
    </row>
    <row r="27" spans="1:4" x14ac:dyDescent="0.25">
      <c r="A27" s="12">
        <f>+A26+1</f>
        <v>25</v>
      </c>
      <c r="B27" t="str">
        <f>IFERROR(VLOOKUP(A27,ref_tree_what!A:B,2,FALSE),"")</f>
        <v/>
      </c>
      <c r="C27" t="str">
        <f ca="1">IFERROR(VLOOKUP(A27,ref_tree_what!C:D,2,FALSE),"")</f>
        <v/>
      </c>
      <c r="D27" t="str">
        <f ca="1">IFERROR(VLOOKUP(A27,ref_tree_what!E:F,2,FALSE),"")</f>
        <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9</vt:i4>
      </vt:variant>
    </vt:vector>
  </HeadingPairs>
  <TitlesOfParts>
    <vt:vector size="23" baseType="lpstr">
      <vt:lpstr>Instructions</vt:lpstr>
      <vt:lpstr>Scope</vt:lpstr>
      <vt:lpstr>Contacts</vt:lpstr>
      <vt:lpstr>Call Notes</vt:lpstr>
      <vt:lpstr>Follow-up</vt:lpstr>
      <vt:lpstr>Email</vt:lpstr>
      <vt:lpstr>SendLog</vt:lpstr>
      <vt:lpstr>ref_questions</vt:lpstr>
      <vt:lpstr>ref_choices</vt:lpstr>
      <vt:lpstr>ref_services</vt:lpstr>
      <vt:lpstr>ref_tree_who</vt:lpstr>
      <vt:lpstr>ref_tree_what</vt:lpstr>
      <vt:lpstr>ref_select_who</vt:lpstr>
      <vt:lpstr>ref_select_what</vt:lpstr>
      <vt:lpstr>Selected_How</vt:lpstr>
      <vt:lpstr>selected_option1</vt:lpstr>
      <vt:lpstr>selected_option2</vt:lpstr>
      <vt:lpstr>selected_service</vt:lpstr>
      <vt:lpstr>Selected_Who</vt:lpstr>
      <vt:lpstr>Selected_Why</vt:lpstr>
      <vt:lpstr>who1what1Chemistry</vt:lpstr>
      <vt:lpstr>who1what1Software</vt:lpstr>
      <vt:lpstr>who1what1Solution</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 Watson</dc:creator>
  <cp:lastModifiedBy>Greg Watson</cp:lastModifiedBy>
  <dcterms:created xsi:type="dcterms:W3CDTF">2015-03-03T02:10:00Z</dcterms:created>
  <dcterms:modified xsi:type="dcterms:W3CDTF">2015-03-12T16:01:06Z</dcterms:modified>
</cp:coreProperties>
</file>